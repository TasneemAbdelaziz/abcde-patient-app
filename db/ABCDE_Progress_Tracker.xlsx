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alProgrammer\ABCDE-Healthcare\Tasks\"/>
    </mc:Choice>
  </mc:AlternateContent>
  <xr:revisionPtr revIDLastSave="0" documentId="13_ncr:1_{B816FC8B-9D44-4AD7-B7B3-75B85C1B19B5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Dashboard" sheetId="1" r:id="rId1"/>
    <sheet name="Plan_10Days" sheetId="2" r:id="rId2"/>
    <sheet name="API_Endpoints" sheetId="3" r:id="rId3"/>
    <sheet name="Mobile_Screens" sheetId="4" r:id="rId4"/>
    <sheet name="Web_Dashboard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9" i="1" l="1"/>
  <c r="C39" i="1"/>
  <c r="E39" i="1" s="1"/>
  <c r="D38" i="1"/>
  <c r="C38" i="1"/>
  <c r="E38" i="1" s="1"/>
  <c r="D37" i="1"/>
  <c r="C37" i="1"/>
  <c r="E37" i="1" s="1"/>
  <c r="D36" i="1"/>
  <c r="C36" i="1"/>
  <c r="E36" i="1" s="1"/>
  <c r="D35" i="1"/>
  <c r="C35" i="1"/>
  <c r="E35" i="1" s="1"/>
  <c r="D34" i="1"/>
  <c r="C34" i="1"/>
  <c r="E34" i="1" s="1"/>
  <c r="D33" i="1"/>
  <c r="C33" i="1"/>
  <c r="E33" i="1" s="1"/>
  <c r="D32" i="1"/>
  <c r="C32" i="1"/>
  <c r="E32" i="1" s="1"/>
  <c r="G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19" i="1"/>
  <c r="F19" i="1"/>
  <c r="E19" i="1"/>
  <c r="D19" i="1"/>
  <c r="C19" i="1"/>
  <c r="F15" i="1"/>
  <c r="E15" i="1"/>
  <c r="D15" i="1"/>
  <c r="C15" i="1"/>
  <c r="G15" i="1" s="1"/>
  <c r="F11" i="1"/>
  <c r="E11" i="1"/>
  <c r="D11" i="1"/>
  <c r="C11" i="1"/>
  <c r="G11" i="1" s="1"/>
  <c r="G7" i="1"/>
  <c r="F7" i="1"/>
  <c r="E7" i="1"/>
  <c r="D7" i="1"/>
  <c r="C7" i="1"/>
</calcChain>
</file>

<file path=xl/sharedStrings.xml><?xml version="1.0" encoding="utf-8"?>
<sst xmlns="http://schemas.openxmlformats.org/spreadsheetml/2006/main" count="1535" uniqueCount="417">
  <si>
    <t>A.B.C.D.E — Backend &amp; Integration Progress</t>
  </si>
  <si>
    <t>Cardiac demo · 10-day plan · update Status columns in the other sheets — everything here recalculates. Team: Mohamed, Tasnem (backend+demo video), Mena, Heba (mobile), Sara (dashboards), Mayar (UI/UX, data collection &amp; content).</t>
  </si>
  <si>
    <t>10-Day Plan tasks</t>
  </si>
  <si>
    <t>Total</t>
  </si>
  <si>
    <t>Done</t>
  </si>
  <si>
    <t>In Progress</t>
  </si>
  <si>
    <t>Blocked</t>
  </si>
  <si>
    <t>% Done</t>
  </si>
  <si>
    <t>API endpoints (99 — Postman 65 + 34 new/expanded)</t>
  </si>
  <si>
    <t>Mobile screens wired</t>
  </si>
  <si>
    <t>Dashboard routes wired</t>
  </si>
  <si>
    <t>Per person — Done / Owned</t>
  </si>
  <si>
    <t>Member</t>
  </si>
  <si>
    <t>Plan tasks</t>
  </si>
  <si>
    <t>API endpoints</t>
  </si>
  <si>
    <t>Mobile screens</t>
  </si>
  <si>
    <t>Dashboard routes</t>
  </si>
  <si>
    <t>Overall % done</t>
  </si>
  <si>
    <t>Mohamed</t>
  </si>
  <si>
    <t>Tasnem</t>
  </si>
  <si>
    <t>Mena</t>
  </si>
  <si>
    <t>Heba</t>
  </si>
  <si>
    <t>Sara</t>
  </si>
  <si>
    <t>Mayar</t>
  </si>
  <si>
    <t>—</t>
  </si>
  <si>
    <t>API endpoints by due day</t>
  </si>
  <si>
    <t>Day</t>
  </si>
  <si>
    <t>Due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</si>
  <si>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</si>
  <si>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</si>
  <si>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</si>
  <si>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</si>
  <si>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</si>
  <si>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</si>
  <si>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</si>
  <si>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</si>
  <si>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Date</t>
  </si>
  <si>
    <t>Owner</t>
  </si>
  <si>
    <t>Service</t>
  </si>
  <si>
    <t>Task</t>
  </si>
  <si>
    <t>Deliverable / Definition of Done</t>
  </si>
  <si>
    <t>Weight</t>
  </si>
  <si>
    <t>Status</t>
  </si>
  <si>
    <t>Notes</t>
  </si>
  <si>
    <t>Thu 11/6</t>
  </si>
  <si>
    <t>Core</t>
  </si>
  <si>
    <t>Laravel 11 scaffold + repo + CI</t>
  </si>
  <si>
    <t>Repo builds; pipeline green</t>
  </si>
  <si>
    <t>Not Started</t>
  </si>
  <si>
    <t>S1</t>
  </si>
  <si>
    <t>Sanctum auth + RBAC middleware (8 roles)</t>
  </si>
  <si>
    <t>Login returns role token; middleware blocks wrong role</t>
  </si>
  <si>
    <t>S12</t>
  </si>
  <si>
    <t>Audit observer + 15-min edit-window trait</t>
  </si>
  <si>
    <t>Every write logged in audit_logs</t>
  </si>
  <si>
    <t>All migrations (38 tables) + models + factories</t>
  </si>
  <si>
    <t>php artisan migrate clean on fresh DB</t>
  </si>
  <si>
    <t>Seeder reproducing data.js demo dataset</t>
  </si>
  <si>
    <t>6 patients incl. ALM-20413; depts; staff; education</t>
  </si>
  <si>
    <t>DATA</t>
  </si>
  <si>
    <t>Send the 4 data-request workbooks to the hospital + brief their contact person</t>
  </si>
  <si>
    <t>Hospital confirms receipt and a return date (≤ Day 4)</t>
  </si>
  <si>
    <t>Fri 12/6</t>
  </si>
  <si>
    <t>Identity endpoints #1–11 (login, QR, register, cards, search, prefs, accessibility)</t>
  </si>
  <si>
    <t>All S1 endpoints pass feature tests</t>
  </si>
  <si>
    <t>S2</t>
  </si>
  <si>
    <t>Public portal #12–15 + appointments CRUD #16–20</t>
  </si>
  <si>
    <t>Landing + mobile appointments can run on real API</t>
  </si>
  <si>
    <t>UIUX</t>
  </si>
  <si>
    <t>Design system &amp; brand assets shared by mobile + dashboards</t>
  </si>
  <si>
    <t>Tokens/components file delivered to Mena, Heba, Sara</t>
  </si>
  <si>
    <t>Sat 13/6</t>
  </si>
  <si>
    <t>S3</t>
  </si>
  <si>
    <t>Visits open/get/list + triage + advance + timeline (#23–27)</t>
  </si>
  <si>
    <t>UC-1 arrival→triage→advance works via API</t>
  </si>
  <si>
    <t>S7</t>
  </si>
  <si>
    <t>Stage-change → notification event</t>
  </si>
  <si>
    <t>Stage move creates notification rows</t>
  </si>
  <si>
    <t>S4</t>
  </si>
  <si>
    <t>Vitals + NEWS2 engine + risk endpoints (#37–42)</t>
  </si>
  <si>
    <t>Vitals write computes NEWS2; ≥5 fires alert event</t>
  </si>
  <si>
    <t>Sun 14/6</t>
  </si>
  <si>
    <t>Clinical gates: consents, checklists, RSTP, cath-type, care-plan, committee (#28–36)</t>
  </si>
  <si>
    <t>Committee authorize produces Direct Admission Form no.</t>
  </si>
  <si>
    <t>S5</t>
  </si>
  <si>
    <t>Medication: prescriptions, MAR administer, reconciliation, pharmacy (#43–47)</t>
  </si>
  <si>
    <t>Nurse MAR + patient adherence both write administrations</t>
  </si>
  <si>
    <t>Collect &amp; clean File 1 (hospital master) + File 2 (patients/visits) from hospital</t>
  </si>
  <si>
    <t>Seeder-ready JSON/CSV handed to Tasnem</t>
  </si>
  <si>
    <t>Mon 15/6</t>
  </si>
  <si>
    <t>Emergency: SOS, chain answer/advance, code-blue, board, metrics, notifications (#61–68)</t>
  </si>
  <si>
    <t>Escalation advances on no-answer; board lists active</t>
  </si>
  <si>
    <t>Diagnostics: orders, results+flags, diagnosis ICD, patient file, consultations (#48–54)</t>
  </si>
  <si>
    <t>P0 COMPLETE — doctor file &amp; results live</t>
  </si>
  <si>
    <t>Collect &amp; clean File 3 (clinical cardiac) — verify values with a clinician</t>
  </si>
  <si>
    <t>Cardiac case data validated; handed to Tasnem</t>
  </si>
  <si>
    <t>Tue 16/6</t>
  </si>
  <si>
    <t>S10</t>
  </si>
  <si>
    <t>Feedback +20pts, complaints + 6h SLA, list/respond/escalate, dashboard (#79–84)</t>
  </si>
  <si>
    <t>SLA breach flag computed; quality dashboard aggregates</t>
  </si>
  <si>
    <t>S8</t>
  </si>
  <si>
    <t>Family link/accept/permissions + BR-3 filtered resource (#69–73)</t>
  </si>
  <si>
    <t>Tests prove family never receives file/results fields</t>
  </si>
  <si>
    <t>S9</t>
  </si>
  <si>
    <t>Billing: insurance, committee memo, financial file, payments (#74–78)</t>
  </si>
  <si>
    <t>4-outcome insurance read; payment returns receipt</t>
  </si>
  <si>
    <t>S11</t>
  </si>
  <si>
    <t>Education videos/relax + care-points ledger (#85–87)</t>
  </si>
  <si>
    <t>Stage-matched content; points balance correct</t>
  </si>
  <si>
    <t>CONTENT</t>
  </si>
  <si>
    <t>Education videos/news/relax content + AR/EN/RU translations of UI strings</t>
  </si>
  <si>
    <t>Content seeded; 3-language strings file delivered</t>
  </si>
  <si>
    <t>Wed 17/6</t>
  </si>
  <si>
    <t>S6</t>
  </si>
  <si>
    <t>AI: advisor+triage (RAG, red-flag→S7), drafts+approve, transcribe, translate (#55–60)</t>
  </si>
  <si>
    <t>Draft saved to record ONLY after approve (NFR-2 test)</t>
  </si>
  <si>
    <t>INT</t>
  </si>
  <si>
    <t>Integration day 1 with Heba — wire mobile P0 screens</t>
  </si>
  <si>
    <t>Mobile login→journey→vitals→SOS on real API; CONTRACT FREEZE</t>
  </si>
  <si>
    <t>Thu 18/6</t>
  </si>
  <si>
    <t>Admin: users/roles/permissions, audit query, integrations, ai-models, KPIs, reports (#88–91)</t>
  </si>
  <si>
    <t>Director KPIs + admin screens servable</t>
  </si>
  <si>
    <t>Integration day 2 with Heba — wire dashboards P0 (Sara consumes)</t>
  </si>
  <si>
    <t>Reception/nurse/doctor/emergency dashboards on real API</t>
  </si>
  <si>
    <t>Collect &amp; clean File 4 (operational/quality) + demo storyboard</t>
  </si>
  <si>
    <t>KPI/feedback data seeded; demo script approved by team</t>
  </si>
  <si>
    <t>Fri 19/6</t>
  </si>
  <si>
    <t>Appointment status/assign (#21–22) + nav map/search/route</t>
  </si>
  <si>
    <t>P2 endpoints green</t>
  </si>
  <si>
    <t>QA</t>
  </si>
  <si>
    <t>Hardening: RBAC+BR-3 sweep, edit window, rate limits, N+1, seeder polish</t>
  </si>
  <si>
    <t>All 91 endpoints green in Postman runner</t>
  </si>
  <si>
    <t>DEMO</t>
  </si>
  <si>
    <t>Demo video — record UC-1 cardiac flow (mobile + dashboards), edit + voiceover</t>
  </si>
  <si>
    <t>Draft video shared with team for review</t>
  </si>
  <si>
    <t>Sat 20/6</t>
  </si>
  <si>
    <t>OPS</t>
  </si>
  <si>
    <t>Deploy API (host, .env, HTTPS) + E2E of UC-1…UC-6</t>
  </si>
  <si>
    <t>Demo environment live</t>
  </si>
  <si>
    <t>Demo data freeze, tag v1.0-demo, handover doc</t>
  </si>
  <si>
    <t>Team can run the full cardiac demo unaided</t>
  </si>
  <si>
    <t>Final demo video render + backup recording of live demo path</t>
  </si>
  <si>
    <t>Final video delivered; plays at presentation</t>
  </si>
  <si>
    <t>Demo polish: landing/public pages deploy + presentation visuals</t>
  </si>
  <si>
    <t>Landing live; slides/visuals ready</t>
  </si>
  <si>
    <t>#</t>
  </si>
  <si>
    <t>Source</t>
  </si>
  <si>
    <t>Method</t>
  </si>
  <si>
    <t>Path</t>
  </si>
  <si>
    <t>Due Day</t>
  </si>
  <si>
    <t>Min. Role</t>
  </si>
  <si>
    <t>Tested in Postman</t>
  </si>
  <si>
    <t>P</t>
  </si>
  <si>
    <t>POST</t>
  </si>
  <si>
    <t>/auth/login</t>
  </si>
  <si>
    <t>public</t>
  </si>
  <si>
    <t>No</t>
  </si>
  <si>
    <t>/auth/login/qr</t>
  </si>
  <si>
    <t>/auth/logout</t>
  </si>
  <si>
    <t>any</t>
  </si>
  <si>
    <t>/patients/register</t>
  </si>
  <si>
    <t>public/reception</t>
  </si>
  <si>
    <t>GET</t>
  </si>
  <si>
    <t>/patients/{serial}</t>
  </si>
  <si>
    <t>owner/staff</t>
  </si>
  <si>
    <t>+</t>
  </si>
  <si>
    <t>/patients?q=</t>
  </si>
  <si>
    <t>staff</t>
  </si>
  <si>
    <t>PUT</t>
  </si>
  <si>
    <t>/patients/{serial}/preferences</t>
  </si>
  <si>
    <t>owner</t>
  </si>
  <si>
    <t>/patients/{serial}/cards</t>
  </si>
  <si>
    <t>reception</t>
  </si>
  <si>
    <t>/patients/{serial}/qr</t>
  </si>
  <si>
    <t>/patients/{serial}/accessibility</t>
  </si>
  <si>
    <t>/public/hospital</t>
  </si>
  <si>
    <t>/public/departments</t>
  </si>
  <si>
    <t>/public/doctors</t>
  </si>
  <si>
    <t>/public/news</t>
  </si>
  <si>
    <t>/appointments</t>
  </si>
  <si>
    <t>public/patient</t>
  </si>
  <si>
    <t>patient/staff</t>
  </si>
  <si>
    <t>/appointments/slots</t>
  </si>
  <si>
    <t>PATCH</t>
  </si>
  <si>
    <t>/appointments/{id}/reschedule</t>
  </si>
  <si>
    <t>DELETE</t>
  </si>
  <si>
    <t>/appointments/{id}</t>
  </si>
  <si>
    <t>/appointments/{id}/status</t>
  </si>
  <si>
    <t>/appointments/{id}/assign</t>
  </si>
  <si>
    <t>reception/director</t>
  </si>
  <si>
    <t>/visits</t>
  </si>
  <si>
    <t>/visits/{id}</t>
  </si>
  <si>
    <t>role-filtered</t>
  </si>
  <si>
    <t>/visits?filters</t>
  </si>
  <si>
    <t>/visits/{id}/triage</t>
  </si>
  <si>
    <t>nurse</t>
  </si>
  <si>
    <t>/visits/{id}/advance</t>
  </si>
  <si>
    <t>doctor/nurse</t>
  </si>
  <si>
    <t>/visits/{id}/cath-type</t>
  </si>
  <si>
    <t>doctor</t>
  </si>
  <si>
    <t>/visits/{id}/consents</t>
  </si>
  <si>
    <t>/consents/{id}/respond</t>
  </si>
  <si>
    <t>patient/family</t>
  </si>
  <si>
    <t>/visits/{id}/checklists</t>
  </si>
  <si>
    <t>/visits/{id}/transport</t>
  </si>
  <si>
    <t>/visits/{id}/committee</t>
  </si>
  <si>
    <t>doctor/reception</t>
  </si>
  <si>
    <t>/committee/{id}/authorize</t>
  </si>
  <si>
    <t>committee</t>
  </si>
  <si>
    <t>/visits/{id}/care-plan</t>
  </si>
  <si>
    <t>/visits/{id}/vitals</t>
  </si>
  <si>
    <t>staff/owner</t>
  </si>
  <si>
    <t>/visits/{id}/risk-score</t>
  </si>
  <si>
    <t>/visits/{id}/risk-score/recompute</t>
  </si>
  <si>
    <t>/visits/{id}/vte</t>
  </si>
  <si>
    <t>/visits/{id}/thresholds</t>
  </si>
  <si>
    <t>/visits/{id}/prescriptions</t>
  </si>
  <si>
    <t>/prescriptions/{id}/administer</t>
  </si>
  <si>
    <t>nurse/patient</t>
  </si>
  <si>
    <t>/visits/{id}/reconciliation</t>
  </si>
  <si>
    <t>/pharmacy/availability</t>
  </si>
  <si>
    <t>/visits/{id}/orders</t>
  </si>
  <si>
    <t>/visits/{id}/results</t>
  </si>
  <si>
    <t>doctor/owner</t>
  </si>
  <si>
    <t>/orders/{id}/result</t>
  </si>
  <si>
    <t>doctor/lab</t>
  </si>
  <si>
    <t>/visits/{id}/diagnosis</t>
  </si>
  <si>
    <t>/patients/{serial}/file</t>
  </si>
  <si>
    <t>/visits/{id}/consultations</t>
  </si>
  <si>
    <t>/assistant/ask</t>
  </si>
  <si>
    <t>/assistant/triage</t>
  </si>
  <si>
    <t>patient</t>
  </si>
  <si>
    <t>/documentation/draft</t>
  </si>
  <si>
    <t>/documentation/{draftId}/approve</t>
  </si>
  <si>
    <t>/documentation/transcribe</t>
  </si>
  <si>
    <t>/documentation/translate</t>
  </si>
  <si>
    <t>staff/patient</t>
  </si>
  <si>
    <t>/emergency/sos</t>
  </si>
  <si>
    <t>/emergency/active</t>
  </si>
  <si>
    <t>emergency/nurse</t>
  </si>
  <si>
    <t>/emergency/{id}/answer</t>
  </si>
  <si>
    <t>emergency</t>
  </si>
  <si>
    <t>/emergency/{id}/advance</t>
  </si>
  <si>
    <t>emergency/system</t>
  </si>
  <si>
    <t>/emergency/code-blue</t>
  </si>
  <si>
    <t>nurse/emergency</t>
  </si>
  <si>
    <t>/emergency/metrics</t>
  </si>
  <si>
    <t>emergency/director</t>
  </si>
  <si>
    <t>/notifications</t>
  </si>
  <si>
    <t>/notifications/{id}/read</t>
  </si>
  <si>
    <t>/patients/{serial}/family</t>
  </si>
  <si>
    <t>/family/{id}/accept</t>
  </si>
  <si>
    <t>family</t>
  </si>
  <si>
    <t>/family/{id}/permissions</t>
  </si>
  <si>
    <t>/family/{id}</t>
  </si>
  <si>
    <t>/patients/{serial}/insurance</t>
  </si>
  <si>
    <t>reception/owner</t>
  </si>
  <si>
    <t>/visits/{id}/billing/committee-review</t>
  </si>
  <si>
    <t>/visits/{id}/financial-file</t>
  </si>
  <si>
    <t>/visits/{id}/payments</t>
  </si>
  <si>
    <t>patient/reception</t>
  </si>
  <si>
    <t>/stages/{id}/feedback</t>
  </si>
  <si>
    <t>/complaints</t>
  </si>
  <si>
    <t>quality</t>
  </si>
  <si>
    <t>/complaints/{id}</t>
  </si>
  <si>
    <t>/feedback</t>
  </si>
  <si>
    <t>/quality/dashboard</t>
  </si>
  <si>
    <t>quality/director</t>
  </si>
  <si>
    <t>/education/videos</t>
  </si>
  <si>
    <t>/education/relax</t>
  </si>
  <si>
    <t>/patients/{serial}/care-points</t>
  </si>
  <si>
    <t>/admin/users</t>
  </si>
  <si>
    <t>admin</t>
  </si>
  <si>
    <t>/admin/users/{id}/role</t>
  </si>
  <si>
    <t>GET/PUT</t>
  </si>
  <si>
    <t>/admin/permissions</t>
  </si>
  <si>
    <t>/admin/audit</t>
  </si>
  <si>
    <t>/admin/integrations</t>
  </si>
  <si>
    <t>/admin/ai-models</t>
  </si>
  <si>
    <t>/reports/kpis</t>
  </si>
  <si>
    <t>director/quality</t>
  </si>
  <si>
    <t>/reports/monthly</t>
  </si>
  <si>
    <t>director</t>
  </si>
  <si>
    <t>/nav/map</t>
  </si>
  <si>
    <t>/nav/search</t>
  </si>
  <si>
    <t>/nav/route</t>
  </si>
  <si>
    <t>Screen</t>
  </si>
  <si>
    <t>APIs required</t>
  </si>
  <si>
    <t>UI Built (prototype)</t>
  </si>
  <si>
    <t>Wired to API</t>
  </si>
  <si>
    <t>Languages AR/EN/RU</t>
  </si>
  <si>
    <t>Intro slides</t>
  </si>
  <si>
    <t>GET /public/hospital (optional)</t>
  </si>
  <si>
    <t>Yes</t>
  </si>
  <si>
    <t>EN only</t>
  </si>
  <si>
    <t>Login (password / QR / guest)</t>
  </si>
  <si>
    <t>POST /auth/login · /auth/login/qr</t>
  </si>
  <si>
    <t>Register (modal)</t>
  </si>
  <si>
    <t>POST /patients/register</t>
  </si>
  <si>
    <t>Partial</t>
  </si>
  <si>
    <t>Home (vitals, status, quick actions)</t>
  </si>
  <si>
    <t>GET /patients/{serial} · GET /visits?open · GET /visits/{id}/vitals · GET /notifications</t>
  </si>
  <si>
    <t>Care Journey — active + rating</t>
  </si>
  <si>
    <t>GET /visits/{id} · POST /stages/{id}/feedback</t>
  </si>
  <si>
    <t>Care Journey — completed visits</t>
  </si>
  <si>
    <t>GET /patients/{serial}/file</t>
  </si>
  <si>
    <t>Care &amp; Medication</t>
  </si>
  <si>
    <t>GET /visits/{id}/prescriptions · POST /prescriptions/{id}/administer</t>
  </si>
  <si>
    <t>Appointments</t>
  </si>
  <si>
    <t>GET/POST /appointments · slots · reschedule · cancel</t>
  </si>
  <si>
    <t>Reports — health</t>
  </si>
  <si>
    <t>GET /visits/{id}/results · GET /patients/{serial}/file</t>
  </si>
  <si>
    <t>Reports — financial + pay</t>
  </si>
  <si>
    <t>GET /visits/{id}/financial-file · POST /visits/{id}/payments</t>
  </si>
  <si>
    <t>Healthcare Advisor (AI)</t>
  </si>
  <si>
    <t>POST /assistant/ask · POST /assistant/triage</t>
  </si>
  <si>
    <t>Family Access</t>
  </si>
  <si>
    <t>POST/GET family · PATCH permissions · DELETE · accept · consents respond</t>
  </si>
  <si>
    <t>Alerts</t>
  </si>
  <si>
    <t>GET /notifications · POST /notifications/{id}/read</t>
  </si>
  <si>
    <t>Learn &amp; Relax + Care Points</t>
  </si>
  <si>
    <t>GET /education/videos · /relax · care-points</t>
  </si>
  <si>
    <t>SOS + Preferences + Accessibility</t>
  </si>
  <si>
    <t>POST /emergency/sos · PUT preferences · GET/PUT accessibility</t>
  </si>
  <si>
    <t>Indoor Map (P2)</t>
  </si>
  <si>
    <t>GET /nav/map · /nav/search · /nav/route</t>
  </si>
  <si>
    <t>Dashboard</t>
  </si>
  <si>
    <t>Route</t>
  </si>
  <si>
    <t>Priority</t>
  </si>
  <si>
    <t>UI Built</t>
  </si>
  <si>
    <t>Reception</t>
  </si>
  <si>
    <t>overview</t>
  </si>
  <si>
    <t>GET /visits?stage=arrival · GET /appointments?status=pending</t>
  </si>
  <si>
    <t>P0</t>
  </si>
  <si>
    <t>register</t>
  </si>
  <si>
    <t>POST /patients/register · GET insurance · POST cards · POST qr · POST /visits</t>
  </si>
  <si>
    <t>queue</t>
  </si>
  <si>
    <t>GET /visits?filters · POST /visits/{id}/advance</t>
  </si>
  <si>
    <t>appointments</t>
  </si>
  <si>
    <t>GET /appointments · PATCH status · POST assign · GET slots</t>
  </si>
  <si>
    <t>P2</t>
  </si>
  <si>
    <t>POST committee-review · GET /visits?committee=pending · POST /committee/{id}/authorize</t>
  </si>
  <si>
    <t>billing</t>
  </si>
  <si>
    <t>GET financial-file · POST payments · PATCH insurance</t>
  </si>
  <si>
    <t>Nurse</t>
  </si>
  <si>
    <t>ward</t>
  </si>
  <si>
    <t>GET /visits?dept&amp;admitted (embeds vitals+NEWS2)</t>
  </si>
  <si>
    <t>triage</t>
  </si>
  <si>
    <t>GET /visits?stage=triage · POST /visits/{id}/triage</t>
  </si>
  <si>
    <t>vitals</t>
  </si>
  <si>
    <t>POST/GET /visits/{id}/vitals · GET risk-score</t>
  </si>
  <si>
    <t>mar</t>
  </si>
  <si>
    <t>GET prescriptions(due) · POST administer · GET pharmacy/availability</t>
  </si>
  <si>
    <t>handover</t>
  </si>
  <si>
    <t>GET /visits?dept summary (SBAR client-side)</t>
  </si>
  <si>
    <t>P1</t>
  </si>
  <si>
    <t>risk</t>
  </si>
  <si>
    <t>GET /visits?critical=1 · PUT thresholds · POST transport · POST checklists</t>
  </si>
  <si>
    <t>Doctor</t>
  </si>
  <si>
    <t>worklist</t>
  </si>
  <si>
    <t>GET /visits?doctor=me</t>
  </si>
  <si>
    <t>file</t>
  </si>
  <si>
    <t>diagnosis</t>
  </si>
  <si>
    <t>POST /visits/{id}/diagnosis</t>
  </si>
  <si>
    <t>orders</t>
  </si>
  <si>
    <t>POST/GET orders · POST consultations</t>
  </si>
  <si>
    <t>results</t>
  </si>
  <si>
    <t>GET results · POST /orders/{id}/result</t>
  </si>
  <si>
    <t>prescribe</t>
  </si>
  <si>
    <t>POST prescriptions · POST reconciliation · GET pharmacy</t>
  </si>
  <si>
    <t>ai console</t>
  </si>
  <si>
    <t>POST documentation/draft · approve · transcribe · translate</t>
  </si>
  <si>
    <t>journey</t>
  </si>
  <si>
    <t>POST advance · cath-type · consents · care-plan · committee</t>
  </si>
  <si>
    <t>Quality</t>
  </si>
  <si>
    <t>GET /quality/dashboard</t>
  </si>
  <si>
    <t>feedback</t>
  </si>
  <si>
    <t>GET /feedback</t>
  </si>
  <si>
    <t>complaints</t>
  </si>
  <si>
    <t>GET /complaints · PATCH /complaints/{id}</t>
  </si>
  <si>
    <t>departments</t>
  </si>
  <si>
    <t>GET /quality/dashboard?by=department · PATCH route</t>
  </si>
  <si>
    <t>reports</t>
  </si>
  <si>
    <t>GET /reports/monthly + sentiment in dashboard</t>
  </si>
  <si>
    <t>Admin</t>
  </si>
  <si>
    <t>overview KPIs</t>
  </si>
  <si>
    <t>GET /reports/kpis</t>
  </si>
  <si>
    <t>GET /reports/monthly</t>
  </si>
  <si>
    <t>aimodels</t>
  </si>
  <si>
    <t>GET /admin/ai-models</t>
  </si>
  <si>
    <t>users</t>
  </si>
  <si>
    <t>GET/POST /admin/users · PATCH role</t>
  </si>
  <si>
    <t>permissions</t>
  </si>
  <si>
    <t>GET/PUT /admin/permissions</t>
  </si>
  <si>
    <t>audit</t>
  </si>
  <si>
    <t>GET /admin/audit</t>
  </si>
  <si>
    <t>integration</t>
  </si>
  <si>
    <t>GET /admin/integrations</t>
  </si>
  <si>
    <t>Emergency</t>
  </si>
  <si>
    <t>board</t>
  </si>
  <si>
    <t>GET /emergency/active · POST answer · POST advance · POST code-blue</t>
  </si>
  <si>
    <t>critical</t>
  </si>
  <si>
    <t>GET /visits?critical=1</t>
  </si>
  <si>
    <t>metrics</t>
  </si>
  <si>
    <t>GET /emergency/metrics</t>
  </si>
  <si>
    <t>rules</t>
  </si>
  <si>
    <t>static config</t>
  </si>
  <si>
    <t>Family</t>
  </si>
  <si>
    <t>status</t>
  </si>
  <si>
    <t>GET /visits/{id} (family resource) · POST /emergency/sos</t>
  </si>
  <si>
    <t>updates</t>
  </si>
  <si>
    <t>GET /notifications</t>
  </si>
  <si>
    <t>team</t>
  </si>
  <si>
    <t>GET /visits/{id} care-team block</t>
  </si>
  <si>
    <t>education</t>
  </si>
  <si>
    <t>GET /education/videos?stage=</t>
  </si>
  <si>
    <t>GET /patients/{serial}/family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</si>
</sst>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14302F"/>
      <name val="Arial"/>
      <charset val="1"/>
    </font>
    <font>
      <sz val="10"/>
      <color rgb="FF6B8786"/>
      <name val="Arial"/>
      <charset val="1"/>
    </font>
    <font>
      <b/>
      <sz val="12"/>
      <color rgb="FF14302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E7C86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E7C86"/>
        <bgColor rgb="FF008080"/>
      </patternFill>
    </fill>
  </fills>
  <borders count="2">
    <border>
      <left/>
      <right/>
      <top/>
      <bottom/>
      <diagonal/>
    </border>
    <border>
      <left style="thin">
        <color rgb="FFD9E2E1"/>
      </left>
      <right style="thin">
        <color rgb="FFD9E2E1"/>
      </right>
      <top style="thin">
        <color rgb="FFD9E2E1"/>
      </top>
      <bottom style="thin">
        <color rgb="FFD9E2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0" fontId="7" fillId="0" borderId="1" xfId="0" applyFont="1" applyBorder="1"/>
    <xf numFmtId="164" fontId="6" fillId="0" borderId="1" xfId="0" applyNumberFormat="1" applyFont="1" applyBorder="1"/>
    <xf numFmtId="0" fontId="0" fillId="0" borderId="1" xfId="0" applyBorder="1"/>
    <xf numFmtId="0" fontId="4" fillId="2" borderId="0" xfId="0" applyFont="1" applyFill="1" applyAlignment="1">
      <alignment vertical="center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6B8786"/>
      <rgbColor rgb="FF9999FF"/>
      <rgbColor rgb="FF993366"/>
      <rgbColor rgb="FFFFFFCC"/>
      <rgbColor rgb="FFCCFFFF"/>
      <rgbColor rgb="FF660066"/>
      <rgbColor rgb="FFFF8080"/>
      <rgbColor rgb="FF0066CC"/>
      <rgbColor rgb="FFD9E2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30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30" customWidth="1"/>
    <col min="3" max="6" width="14" customWidth="1"/>
    <col min="7" max="7" width="16" customWidth="1"/>
  </cols>
  <sheetData>
    <row r="2" spans="2:7" ht="19.5" customHeight="1" x14ac:dyDescent="0.4">
      <c r="B2" s="1" t="s">
        <v>0</v>
      </c>
    </row>
    <row r="3" spans="2:7" ht="15" customHeight="1" x14ac:dyDescent="0.3">
      <c r="B3" s="2" t="s">
        <v>1</v>
      </c>
    </row>
    <row r="5" spans="2:7" ht="15" customHeight="1" x14ac:dyDescent="0.3">
      <c r="B5" s="3" t="s">
        <v>2</v>
      </c>
    </row>
    <row r="6" spans="2:7" ht="15" customHeight="1" x14ac:dyDescent="0.3"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ht="15" customHeight="1" x14ac:dyDescent="0.3">
      <c r="C7" s="5">
        <f>COUNTA(Plan_10Days!A2:A36)</f>
        <v>35</v>
      </c>
      <c r="D7" s="5">
        <f>COUNTIF(Plan_10Days!H2:H36,"Done")</f>
        <v>0</v>
      </c>
      <c r="E7" s="5">
        <f>COUNTIF(Plan_10Days!H2:H36,"In Progress")</f>
        <v>0</v>
      </c>
      <c r="F7" s="5">
        <f>COUNTIF(Plan_10Days!H2:H36,"Blocked")</f>
        <v>0</v>
      </c>
      <c r="G7" s="6">
        <f>IF(C7=0,0,D7/C7)</f>
        <v>0</v>
      </c>
    </row>
    <row r="9" spans="2:7" ht="15" customHeight="1" x14ac:dyDescent="0.3">
      <c r="B9" s="3" t="s">
        <v>8</v>
      </c>
    </row>
    <row r="10" spans="2:7" ht="15" customHeight="1" x14ac:dyDescent="0.3">
      <c r="C10" s="4" t="s">
        <v>3</v>
      </c>
      <c r="D10" s="4" t="s">
        <v>4</v>
      </c>
      <c r="E10" s="4" t="s">
        <v>5</v>
      </c>
      <c r="F10" s="4" t="s">
        <v>6</v>
      </c>
      <c r="G10" s="4" t="s">
        <v>7</v>
      </c>
    </row>
    <row r="11" spans="2:7" ht="15" customHeight="1" x14ac:dyDescent="0.3">
      <c r="C11" s="5">
        <f>COUNTA(API_Endpoints!A2:A100)</f>
        <v>99</v>
      </c>
      <c r="D11" s="5">
        <f>COUNTIF(API_Endpoints!I2:I100,"Done")</f>
        <v>0</v>
      </c>
      <c r="E11" s="5">
        <f>COUNTIF(API_Endpoints!I2:I100,"In Progress")</f>
        <v>0</v>
      </c>
      <c r="F11" s="5">
        <f>COUNTIF(API_Endpoints!I2:I100,"Blocked")</f>
        <v>0</v>
      </c>
      <c r="G11" s="6">
        <f>IF(C11=0,0,D11/C11)</f>
        <v>0</v>
      </c>
    </row>
    <row r="13" spans="2:7" ht="15" customHeight="1" x14ac:dyDescent="0.3">
      <c r="B13" s="3" t="s">
        <v>9</v>
      </c>
    </row>
    <row r="14" spans="2:7" ht="15" customHeight="1" x14ac:dyDescent="0.3"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</row>
    <row r="15" spans="2:7" ht="15" customHeight="1" x14ac:dyDescent="0.3">
      <c r="C15" s="5">
        <f>COUNTA(Mobile_Screens!A2:A17)</f>
        <v>16</v>
      </c>
      <c r="D15" s="5">
        <f>COUNTIF(Mobile_Screens!H2:H17,"Done")</f>
        <v>0</v>
      </c>
      <c r="E15" s="5">
        <f>COUNTIF(Mobile_Screens!H2:H17,"In Progress")</f>
        <v>0</v>
      </c>
      <c r="F15" s="5">
        <f>COUNTIF(Mobile_Screens!H2:H17,"Blocked")</f>
        <v>0</v>
      </c>
      <c r="G15" s="6">
        <f>IF(C15=0,0,D15/C15)</f>
        <v>0</v>
      </c>
    </row>
    <row r="17" spans="2:7" ht="15" customHeight="1" x14ac:dyDescent="0.3">
      <c r="B17" s="3" t="s">
        <v>10</v>
      </c>
    </row>
    <row r="18" spans="2:7" ht="15" customHeight="1" x14ac:dyDescent="0.3"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</row>
    <row r="19" spans="2:7" ht="15" customHeight="1" x14ac:dyDescent="0.3">
      <c r="C19" s="5">
        <f>COUNTA(Web_Dashboards!A2:A42)</f>
        <v>41</v>
      </c>
      <c r="D19" s="5">
        <f>COUNTIF(Web_Dashboards!H2:H42,"Done")</f>
        <v>0</v>
      </c>
      <c r="E19" s="5">
        <f>COUNTIF(Web_Dashboards!H2:H42,"In Progress")</f>
        <v>0</v>
      </c>
      <c r="F19" s="5">
        <f>COUNTIF(Web_Dashboards!H2:H42,"Blocked")</f>
        <v>0</v>
      </c>
      <c r="G19" s="6">
        <f>IF(C19=0,0,D19/C19)</f>
        <v>0</v>
      </c>
    </row>
    <row r="21" spans="2:7" ht="15" customHeight="1" x14ac:dyDescent="0.3">
      <c r="B21" s="3" t="s">
        <v>11</v>
      </c>
    </row>
    <row r="22" spans="2:7" ht="15" customHeight="1" x14ac:dyDescent="0.3">
      <c r="B22" s="7" t="s">
        <v>12</v>
      </c>
      <c r="C22" s="7" t="s">
        <v>13</v>
      </c>
      <c r="D22" s="7" t="s">
        <v>14</v>
      </c>
      <c r="E22" s="7" t="s">
        <v>15</v>
      </c>
      <c r="F22" s="7" t="s">
        <v>16</v>
      </c>
      <c r="G22" s="7" t="s">
        <v>17</v>
      </c>
    </row>
    <row r="23" spans="2:7" ht="15" customHeight="1" x14ac:dyDescent="0.3">
      <c r="B23" s="8" t="s">
        <v>18</v>
      </c>
      <c r="C23" s="9" t="str">
        <f>COUNTIFS(Plan_10Days!C:C,"Mohamed",Plan_10Days!H:H,"Done")&amp;" / "&amp;COUNTIF(Plan_10Days!C:C,"Mohamed")</f>
        <v>0 / 13</v>
      </c>
      <c r="D23" s="9" t="str">
        <f>COUNTIFS(API_Endpoints!F:F,"Mohamed",API_Endpoints!I:I,"Done")&amp;" / "&amp;COUNTIF(API_Endpoints!F:F,"Mohamed")</f>
        <v>0 / 59</v>
      </c>
      <c r="E23" s="9" t="str">
        <f>COUNTIFS(Mobile_Screens!C:C,"Mohamed",Mobile_Screens!H:H,"Done")&amp;" / "&amp;COUNTIF(Mobile_Screens!C:C,"Mohamed")</f>
        <v>0 / 0</v>
      </c>
      <c r="F23" s="9" t="str">
        <f>COUNTIFS(Web_Dashboards!C:C,"Mohamed",Web_Dashboards!H:H,"Done")&amp;" / "&amp;COUNTIF(Web_Dashboards!C:C,"Mohamed")</f>
        <v>0 / 0</v>
      </c>
      <c r="G23" s="10">
        <f>IF((COUNTIF(Plan_10Days!C:C,"Mohamed")+COUNTIF(API_Endpoints!F:F,"Mohamed")+COUNTIF(Mobile_Screens!C:C,"Mohamed")+COUNTIF(Web_Dashboards!C:C,"Mohamed"))=0,0,(COUNTIFS(Plan_10Days!C:C,"Mohamed",Plan_10Days!H:H,"Done")+COUNTIFS(API_Endpoints!F:F,"Mohamed",API_Endpoints!I:I,"Done")+COUNTIFS(Mobile_Screens!C:C,"Mohamed",Mobile_Screens!H:H,"Done")+COUNTIFS(Web_Dashboards!C:C,"Mohamed",Web_Dashboards!H:H,"Done"))/(COUNTIF(Plan_10Days!C:C,"Mohamed")+COUNTIF(API_Endpoints!F:F,"Mohamed")+COUNTIF(Mobile_Screens!C:C,"Mohamed")+COUNTIF(Web_Dashboards!C:C,"Mohamed")))</f>
        <v>0</v>
      </c>
    </row>
    <row r="24" spans="2:7" ht="15" customHeight="1" x14ac:dyDescent="0.3">
      <c r="B24" s="8" t="s">
        <v>19</v>
      </c>
      <c r="C24" s="9" t="str">
        <f>COUNTIFS(Plan_10Days!C:C,"Tasnem",Plan_10Days!H:H,"Done")&amp;" / "&amp;COUNTIF(Plan_10Days!C:C,"Tasnem")</f>
        <v>0 / 15</v>
      </c>
      <c r="D24" s="9" t="str">
        <f>COUNTIFS(API_Endpoints!F:F,"Tasnem",API_Endpoints!I:I,"Done")&amp;" / "&amp;COUNTIF(API_Endpoints!F:F,"Tasnem")</f>
        <v>0 / 40</v>
      </c>
      <c r="E24" s="9" t="str">
        <f>COUNTIFS(Mobile_Screens!C:C,"Tasnem",Mobile_Screens!H:H,"Done")&amp;" / "&amp;COUNTIF(Mobile_Screens!C:C,"Tasnem")</f>
        <v>0 / 0</v>
      </c>
      <c r="F24" s="9" t="str">
        <f>COUNTIFS(Web_Dashboards!C:C,"Tasnem",Web_Dashboards!H:H,"Done")&amp;" / "&amp;COUNTIF(Web_Dashboards!C:C,"Tasnem")</f>
        <v>0 / 0</v>
      </c>
      <c r="G24" s="10">
        <f>IF((COUNTIF(Plan_10Days!C:C,"Tasnem")+COUNTIF(API_Endpoints!F:F,"Tasnem")+COUNTIF(Mobile_Screens!C:C,"Tasnem")+COUNTIF(Web_Dashboards!C:C,"Tasnem"))=0,0,(COUNTIFS(Plan_10Days!C:C,"Tasnem",Plan_10Days!H:H,"Done")+COUNTIFS(API_Endpoints!F:F,"Tasnem",API_Endpoints!I:I,"Done")+COUNTIFS(Mobile_Screens!C:C,"Tasnem",Mobile_Screens!H:H,"Done")+COUNTIFS(Web_Dashboards!C:C,"Tasnem",Web_Dashboards!H:H,"Done"))/(COUNTIF(Plan_10Days!C:C,"Tasnem")+COUNTIF(API_Endpoints!F:F,"Tasnem")+COUNTIF(Mobile_Screens!C:C,"Tasnem")+COUNTIF(Web_Dashboards!C:C,"Tasnem")))</f>
        <v>0</v>
      </c>
    </row>
    <row r="25" spans="2:7" ht="15" customHeight="1" x14ac:dyDescent="0.3">
      <c r="B25" s="8" t="s">
        <v>20</v>
      </c>
      <c r="C25" s="9" t="str">
        <f>COUNTIFS(Plan_10Days!C:C,"Mena",Plan_10Days!H:H,"Done")&amp;" / "&amp;COUNTIF(Plan_10Days!C:C,"Mena")</f>
        <v>0 / 0</v>
      </c>
      <c r="D25" s="9" t="str">
        <f>COUNTIFS(API_Endpoints!F:F,"Mena",API_Endpoints!I:I,"Done")&amp;" / "&amp;COUNTIF(API_Endpoints!F:F,"Mena")</f>
        <v>0 / 0</v>
      </c>
      <c r="E25" s="9" t="str">
        <f>COUNTIFS(Mobile_Screens!C:C,"Mena",Mobile_Screens!H:H,"Done")&amp;" / "&amp;COUNTIF(Mobile_Screens!C:C,"Mena")</f>
        <v>0 / 8</v>
      </c>
      <c r="F25" s="9" t="str">
        <f>COUNTIFS(Web_Dashboards!C:C,"Mena",Web_Dashboards!H:H,"Done")&amp;" / "&amp;COUNTIF(Web_Dashboards!C:C,"Mena")</f>
        <v>0 / 0</v>
      </c>
      <c r="G25" s="10">
        <f>IF((COUNTIF(Plan_10Days!C:C,"Mena")+COUNTIF(API_Endpoints!F:F,"Mena")+COUNTIF(Mobile_Screens!C:C,"Mena")+COUNTIF(Web_Dashboards!C:C,"Mena"))=0,0,(COUNTIFS(Plan_10Days!C:C,"Mena",Plan_10Days!H:H,"Done")+COUNTIFS(API_Endpoints!F:F,"Mena",API_Endpoints!I:I,"Done")+COUNTIFS(Mobile_Screens!C:C,"Mena",Mobile_Screens!H:H,"Done")+COUNTIFS(Web_Dashboards!C:C,"Mena",Web_Dashboards!H:H,"Done"))/(COUNTIF(Plan_10Days!C:C,"Mena")+COUNTIF(API_Endpoints!F:F,"Mena")+COUNTIF(Mobile_Screens!C:C,"Mena")+COUNTIF(Web_Dashboards!C:C,"Mena")))</f>
        <v>0</v>
      </c>
    </row>
    <row r="26" spans="2:7" ht="15" customHeight="1" x14ac:dyDescent="0.3">
      <c r="B26" s="8" t="s">
        <v>21</v>
      </c>
      <c r="C26" s="9" t="str">
        <f>COUNTIFS(Plan_10Days!C:C,"Heba",Plan_10Days!H:H,"Done")&amp;" / "&amp;COUNTIF(Plan_10Days!C:C,"Heba")</f>
        <v>0 / 0</v>
      </c>
      <c r="D26" s="9" t="str">
        <f>COUNTIFS(API_Endpoints!F:F,"Heba",API_Endpoints!I:I,"Done")&amp;" / "&amp;COUNTIF(API_Endpoints!F:F,"Heba")</f>
        <v>0 / 0</v>
      </c>
      <c r="E26" s="9" t="str">
        <f>COUNTIFS(Mobile_Screens!C:C,"Heba",Mobile_Screens!H:H,"Done")&amp;" / "&amp;COUNTIF(Mobile_Screens!C:C,"Heba")</f>
        <v>0 / 8</v>
      </c>
      <c r="F26" s="9" t="str">
        <f>COUNTIFS(Web_Dashboards!C:C,"Heba",Web_Dashboards!H:H,"Done")&amp;" / "&amp;COUNTIF(Web_Dashboards!C:C,"Heba")</f>
        <v>0 / 0</v>
      </c>
      <c r="G26" s="10">
        <f>IF((COUNTIF(Plan_10Days!C:C,"Heba")+COUNTIF(API_Endpoints!F:F,"Heba")+COUNTIF(Mobile_Screens!C:C,"Heba")+COUNTIF(Web_Dashboards!C:C,"Heba"))=0,0,(COUNTIFS(Plan_10Days!C:C,"Heba",Plan_10Days!H:H,"Done")+COUNTIFS(API_Endpoints!F:F,"Heba",API_Endpoints!I:I,"Done")+COUNTIFS(Mobile_Screens!C:C,"Heba",Mobile_Screens!H:H,"Done")+COUNTIFS(Web_Dashboards!C:C,"Heba",Web_Dashboards!H:H,"Done"))/(COUNTIF(Plan_10Days!C:C,"Heba")+COUNTIF(API_Endpoints!F:F,"Heba")+COUNTIF(Mobile_Screens!C:C,"Heba")+COUNTIF(Web_Dashboards!C:C,"Heba")))</f>
        <v>0</v>
      </c>
    </row>
    <row r="27" spans="2:7" ht="15" customHeight="1" x14ac:dyDescent="0.3">
      <c r="B27" s="8" t="s">
        <v>22</v>
      </c>
      <c r="C27" s="9" t="str">
        <f>COUNTIFS(Plan_10Days!C:C,"Sara",Plan_10Days!H:H,"Done")&amp;" / "&amp;COUNTIF(Plan_10Days!C:C,"Sara")</f>
        <v>0 / 0</v>
      </c>
      <c r="D27" s="9" t="str">
        <f>COUNTIFS(API_Endpoints!F:F,"Sara",API_Endpoints!I:I,"Done")&amp;" / "&amp;COUNTIF(API_Endpoints!F:F,"Sara")</f>
        <v>0 / 0</v>
      </c>
      <c r="E27" s="9" t="str">
        <f>COUNTIFS(Mobile_Screens!C:C,"Sara",Mobile_Screens!H:H,"Done")&amp;" / "&amp;COUNTIF(Mobile_Screens!C:C,"Sara")</f>
        <v>0 / 0</v>
      </c>
      <c r="F27" s="9" t="str">
        <f>COUNTIFS(Web_Dashboards!C:C,"Sara",Web_Dashboards!H:H,"Done")&amp;" / "&amp;COUNTIF(Web_Dashboards!C:C,"Sara")</f>
        <v>0 / 41</v>
      </c>
      <c r="G27" s="10">
        <f>IF((COUNTIF(Plan_10Days!C:C,"Sara")+COUNTIF(API_Endpoints!F:F,"Sara")+COUNTIF(Mobile_Screens!C:C,"Sara")+COUNTIF(Web_Dashboards!C:C,"Sara"))=0,0,(COUNTIFS(Plan_10Days!C:C,"Sara",Plan_10Days!H:H,"Done")+COUNTIFS(API_Endpoints!F:F,"Sara",API_Endpoints!I:I,"Done")+COUNTIFS(Mobile_Screens!C:C,"Sara",Mobile_Screens!H:H,"Done")+COUNTIFS(Web_Dashboards!C:C,"Sara",Web_Dashboards!H:H,"Done"))/(COUNTIF(Plan_10Days!C:C,"Sara")+COUNTIF(API_Endpoints!F:F,"Sara")+COUNTIF(Mobile_Screens!C:C,"Sara")+COUNTIF(Web_Dashboards!C:C,"Sara")))</f>
        <v>0</v>
      </c>
    </row>
    <row r="28" spans="2:7" ht="15" customHeight="1" x14ac:dyDescent="0.3">
      <c r="B28" s="8" t="s">
        <v>23</v>
      </c>
      <c r="C28" s="9" t="str">
        <f>COUNTIFS(Plan_10Days!C:C,"Mayar",Plan_10Days!H:H,"Done")&amp;" / "&amp;COUNTIF(Plan_10Days!C:C,"Mayar")</f>
        <v>0 / 7</v>
      </c>
      <c r="D28" s="9" t="s">
        <v>24</v>
      </c>
      <c r="E28" s="9" t="s">
        <v>24</v>
      </c>
      <c r="F28" s="9" t="s">
        <v>24</v>
      </c>
      <c r="G28" s="10">
        <f>IF(COUNTIF(Plan_10Days!C:C,"Mayar")=0,0,COUNTIFS(Plan_10Days!C:C,"Mayar",Plan_10Days!H:H,"Done")/COUNTIF(Plan_10Days!C:C,"Mayar"))</f>
        <v>0</v>
      </c>
    </row>
    <row r="29" spans="2:7" ht="15" customHeight="1" x14ac:dyDescent="0.3"/>
    <row r="30" spans="2:7" ht="15" customHeight="1" x14ac:dyDescent="0.3">
      <c r="B30" s="3" t="s">
        <v>25</v>
      </c>
    </row>
    <row r="31" spans="2:7" ht="15" customHeight="1" x14ac:dyDescent="0.3">
      <c r="B31" s="7" t="s">
        <v>26</v>
      </c>
      <c r="C31" s="7" t="s">
        <v>27</v>
      </c>
      <c r="D31" s="7" t="s">
        <v>4</v>
      </c>
      <c r="E31" s="7" t="s">
        <v>7</v>
      </c>
    </row>
    <row r="32" spans="2:7" ht="15" customHeight="1" x14ac:dyDescent="0.3">
      <c r="B32" s="8" t="s">
        <v>28</v>
      </c>
      <c r="C32" s="11">
        <f>COUNTIF(API_Endpoints!G:G,2)</f>
        <v>20</v>
      </c>
      <c r="D32" s="11">
        <f>COUNTIFS(API_Endpoints!G:G,2,API_Endpoints!I:I,"Done")</f>
        <v>0</v>
      </c>
      <c r="E32" s="10">
        <f t="shared" ref="E32:E39" si="0">IF(C32=0,0,D32/C32)</f>
        <v>0</v>
      </c>
    </row>
    <row r="33" spans="2:5" ht="15" customHeight="1" x14ac:dyDescent="0.3">
      <c r="B33" s="8" t="s">
        <v>29</v>
      </c>
      <c r="C33" s="11">
        <f>COUNTIF(API_Endpoints!G:G,3)</f>
        <v>11</v>
      </c>
      <c r="D33" s="11">
        <f>COUNTIFS(API_Endpoints!G:G,3,API_Endpoints!I:I,"Done")</f>
        <v>0</v>
      </c>
      <c r="E33" s="10">
        <f t="shared" si="0"/>
        <v>0</v>
      </c>
    </row>
    <row r="34" spans="2:5" ht="15" customHeight="1" x14ac:dyDescent="0.3">
      <c r="B34" s="8" t="s">
        <v>30</v>
      </c>
      <c r="C34" s="11">
        <f>COUNTIF(API_Endpoints!G:G,4)</f>
        <v>14</v>
      </c>
      <c r="D34" s="11">
        <f>COUNTIFS(API_Endpoints!G:G,4,API_Endpoints!I:I,"Done")</f>
        <v>0</v>
      </c>
      <c r="E34" s="10">
        <f t="shared" si="0"/>
        <v>0</v>
      </c>
    </row>
    <row r="35" spans="2:5" ht="15" customHeight="1" x14ac:dyDescent="0.3">
      <c r="B35" s="8" t="s">
        <v>31</v>
      </c>
      <c r="C35" s="11">
        <f>COUNTIF(API_Endpoints!G:G,5)</f>
        <v>15</v>
      </c>
      <c r="D35" s="11">
        <f>COUNTIFS(API_Endpoints!G:G,5,API_Endpoints!I:I,"Done")</f>
        <v>0</v>
      </c>
      <c r="E35" s="10">
        <f t="shared" si="0"/>
        <v>0</v>
      </c>
    </row>
    <row r="36" spans="2:5" ht="15" customHeight="1" x14ac:dyDescent="0.3">
      <c r="B36" s="8" t="s">
        <v>32</v>
      </c>
      <c r="C36" s="11">
        <f>COUNTIF(API_Endpoints!G:G,6)</f>
        <v>19</v>
      </c>
      <c r="D36" s="11">
        <f>COUNTIFS(API_Endpoints!G:G,6,API_Endpoints!I:I,"Done")</f>
        <v>0</v>
      </c>
      <c r="E36" s="10">
        <f t="shared" si="0"/>
        <v>0</v>
      </c>
    </row>
    <row r="37" spans="2:5" ht="15" customHeight="1" x14ac:dyDescent="0.3">
      <c r="B37" s="8" t="s">
        <v>33</v>
      </c>
      <c r="C37" s="11">
        <f>COUNTIF(API_Endpoints!G:G,7)</f>
        <v>6</v>
      </c>
      <c r="D37" s="11">
        <f>COUNTIFS(API_Endpoints!G:G,7,API_Endpoints!I:I,"Done")</f>
        <v>0</v>
      </c>
      <c r="E37" s="10">
        <f t="shared" si="0"/>
        <v>0</v>
      </c>
    </row>
    <row r="38" spans="2:5" ht="15" customHeight="1" x14ac:dyDescent="0.3">
      <c r="B38" s="8" t="s">
        <v>34</v>
      </c>
      <c r="C38" s="11">
        <f>COUNTIF(API_Endpoints!G:G,8)</f>
        <v>9</v>
      </c>
      <c r="D38" s="11">
        <f>COUNTIFS(API_Endpoints!G:G,8,API_Endpoints!I:I,"Done")</f>
        <v>0</v>
      </c>
      <c r="E38" s="10">
        <f t="shared" si="0"/>
        <v>0</v>
      </c>
    </row>
    <row r="39" spans="2:5" ht="15" customHeight="1" x14ac:dyDescent="0.3">
      <c r="B39" s="8" t="s">
        <v>35</v>
      </c>
      <c r="C39" s="11">
        <f>COUNTIF(API_Endpoints!G:G,9)</f>
        <v>5</v>
      </c>
      <c r="D39" s="11">
        <f>COUNTIFS(API_Endpoints!G:G,9,API_Endpoints!I:I,"Done")</f>
        <v>0</v>
      </c>
      <c r="E39" s="10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6640625" defaultRowHeight="14.4" x14ac:dyDescent="0.3"/>
  <cols>
    <col min="1" max="1" width="5" customWidth="1"/>
    <col min="2" max="2" width="11" customWidth="1"/>
    <col min="3" max="3" width="10" customWidth="1"/>
    <col min="4" max="4" width="8" customWidth="1"/>
    <col min="5" max="5" width="42" customWidth="1"/>
    <col min="6" max="6" width="46" customWidth="1"/>
    <col min="7" max="7" width="7" customWidth="1"/>
    <col min="8" max="8" width="13" customWidth="1"/>
    <col min="9" max="9" width="24" customWidth="1"/>
  </cols>
  <sheetData>
    <row r="1" spans="1:9" ht="15" customHeight="1" x14ac:dyDescent="0.3">
      <c r="A1" s="12" t="s">
        <v>26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</row>
    <row r="2" spans="1:9" ht="15" customHeight="1" x14ac:dyDescent="0.3">
      <c r="A2" s="13">
        <v>1</v>
      </c>
      <c r="B2" s="13" t="s">
        <v>44</v>
      </c>
      <c r="C2" s="13" t="s">
        <v>18</v>
      </c>
      <c r="D2" s="13" t="s">
        <v>45</v>
      </c>
      <c r="E2" s="13" t="s">
        <v>46</v>
      </c>
      <c r="F2" s="13" t="s">
        <v>47</v>
      </c>
      <c r="G2" s="13">
        <v>2</v>
      </c>
      <c r="H2" s="13" t="s">
        <v>48</v>
      </c>
      <c r="I2" s="13"/>
    </row>
    <row r="3" spans="1:9" ht="15" customHeight="1" x14ac:dyDescent="0.3">
      <c r="A3" s="13">
        <v>1</v>
      </c>
      <c r="B3" s="13" t="s">
        <v>44</v>
      </c>
      <c r="C3" s="13" t="s">
        <v>18</v>
      </c>
      <c r="D3" s="13" t="s">
        <v>49</v>
      </c>
      <c r="E3" s="13" t="s">
        <v>50</v>
      </c>
      <c r="F3" s="13" t="s">
        <v>51</v>
      </c>
      <c r="G3" s="13">
        <v>3</v>
      </c>
      <c r="H3" s="13" t="s">
        <v>48</v>
      </c>
      <c r="I3" s="13"/>
    </row>
    <row r="4" spans="1:9" ht="15" customHeight="1" x14ac:dyDescent="0.3">
      <c r="A4" s="13">
        <v>1</v>
      </c>
      <c r="B4" s="13" t="s">
        <v>44</v>
      </c>
      <c r="C4" s="13" t="s">
        <v>18</v>
      </c>
      <c r="D4" s="13" t="s">
        <v>52</v>
      </c>
      <c r="E4" s="13" t="s">
        <v>53</v>
      </c>
      <c r="F4" s="13" t="s">
        <v>54</v>
      </c>
      <c r="G4" s="13">
        <v>2</v>
      </c>
      <c r="H4" s="13" t="s">
        <v>48</v>
      </c>
      <c r="I4" s="13"/>
    </row>
    <row r="5" spans="1:9" ht="15" customHeight="1" x14ac:dyDescent="0.3">
      <c r="A5" s="13">
        <v>1</v>
      </c>
      <c r="B5" s="13" t="s">
        <v>44</v>
      </c>
      <c r="C5" s="13" t="s">
        <v>19</v>
      </c>
      <c r="D5" s="13" t="s">
        <v>45</v>
      </c>
      <c r="E5" s="13" t="s">
        <v>55</v>
      </c>
      <c r="F5" s="13" t="s">
        <v>56</v>
      </c>
      <c r="G5" s="13">
        <v>3</v>
      </c>
      <c r="H5" s="13" t="s">
        <v>48</v>
      </c>
      <c r="I5" s="13"/>
    </row>
    <row r="6" spans="1:9" ht="15" customHeight="1" x14ac:dyDescent="0.3">
      <c r="A6" s="13">
        <v>1</v>
      </c>
      <c r="B6" s="13" t="s">
        <v>44</v>
      </c>
      <c r="C6" s="13" t="s">
        <v>19</v>
      </c>
      <c r="D6" s="13" t="s">
        <v>45</v>
      </c>
      <c r="E6" s="13" t="s">
        <v>57</v>
      </c>
      <c r="F6" s="13" t="s">
        <v>58</v>
      </c>
      <c r="G6" s="13">
        <v>3</v>
      </c>
      <c r="H6" s="13" t="s">
        <v>48</v>
      </c>
      <c r="I6" s="13"/>
    </row>
    <row r="7" spans="1:9" ht="23.25" customHeight="1" x14ac:dyDescent="0.3">
      <c r="A7" s="13">
        <v>1</v>
      </c>
      <c r="B7" s="13" t="s">
        <v>44</v>
      </c>
      <c r="C7" s="13" t="s">
        <v>23</v>
      </c>
      <c r="D7" s="13" t="s">
        <v>59</v>
      </c>
      <c r="E7" s="13" t="s">
        <v>60</v>
      </c>
      <c r="F7" s="13" t="s">
        <v>61</v>
      </c>
      <c r="G7" s="13">
        <v>2</v>
      </c>
      <c r="H7" s="13" t="s">
        <v>48</v>
      </c>
      <c r="I7" s="13"/>
    </row>
    <row r="8" spans="1:9" ht="23.25" customHeight="1" x14ac:dyDescent="0.3">
      <c r="A8" s="13">
        <v>2</v>
      </c>
      <c r="B8" s="13" t="s">
        <v>62</v>
      </c>
      <c r="C8" s="13" t="s">
        <v>18</v>
      </c>
      <c r="D8" s="13" t="s">
        <v>49</v>
      </c>
      <c r="E8" s="13" t="s">
        <v>63</v>
      </c>
      <c r="F8" s="13" t="s">
        <v>64</v>
      </c>
      <c r="G8" s="13">
        <v>3</v>
      </c>
      <c r="H8" s="13" t="s">
        <v>48</v>
      </c>
      <c r="I8" s="13"/>
    </row>
    <row r="9" spans="1:9" ht="23.25" customHeight="1" x14ac:dyDescent="0.3">
      <c r="A9" s="13">
        <v>2</v>
      </c>
      <c r="B9" s="13" t="s">
        <v>62</v>
      </c>
      <c r="C9" s="13" t="s">
        <v>19</v>
      </c>
      <c r="D9" s="13" t="s">
        <v>65</v>
      </c>
      <c r="E9" s="13" t="s">
        <v>66</v>
      </c>
      <c r="F9" s="13" t="s">
        <v>67</v>
      </c>
      <c r="G9" s="13">
        <v>3</v>
      </c>
      <c r="H9" s="13" t="s">
        <v>48</v>
      </c>
      <c r="I9" s="13"/>
    </row>
    <row r="10" spans="1:9" ht="15" customHeight="1" x14ac:dyDescent="0.3">
      <c r="A10" s="13">
        <v>2</v>
      </c>
      <c r="B10" s="13" t="s">
        <v>62</v>
      </c>
      <c r="C10" s="13" t="s">
        <v>23</v>
      </c>
      <c r="D10" s="13" t="s">
        <v>68</v>
      </c>
      <c r="E10" s="13" t="s">
        <v>69</v>
      </c>
      <c r="F10" s="13" t="s">
        <v>70</v>
      </c>
      <c r="G10" s="13">
        <v>2</v>
      </c>
      <c r="H10" s="13" t="s">
        <v>48</v>
      </c>
      <c r="I10" s="13"/>
    </row>
    <row r="11" spans="1:9" ht="15" customHeight="1" x14ac:dyDescent="0.3">
      <c r="A11" s="13">
        <v>3</v>
      </c>
      <c r="B11" s="13" t="s">
        <v>71</v>
      </c>
      <c r="C11" s="13" t="s">
        <v>18</v>
      </c>
      <c r="D11" s="13" t="s">
        <v>72</v>
      </c>
      <c r="E11" s="13" t="s">
        <v>73</v>
      </c>
      <c r="F11" s="13" t="s">
        <v>74</v>
      </c>
      <c r="G11" s="13">
        <v>3</v>
      </c>
      <c r="H11" s="13" t="s">
        <v>48</v>
      </c>
      <c r="I11" s="13"/>
    </row>
    <row r="12" spans="1:9" ht="23.25" customHeight="1" x14ac:dyDescent="0.3">
      <c r="A12" s="13">
        <v>3</v>
      </c>
      <c r="B12" s="13" t="s">
        <v>71</v>
      </c>
      <c r="C12" s="13" t="s">
        <v>18</v>
      </c>
      <c r="D12" s="13" t="s">
        <v>75</v>
      </c>
      <c r="E12" s="13" t="s">
        <v>76</v>
      </c>
      <c r="F12" s="13" t="s">
        <v>77</v>
      </c>
      <c r="G12" s="13">
        <v>1</v>
      </c>
      <c r="H12" s="13" t="s">
        <v>48</v>
      </c>
      <c r="I12" s="13"/>
    </row>
    <row r="13" spans="1:9" ht="23.25" customHeight="1" x14ac:dyDescent="0.3">
      <c r="A13" s="13">
        <v>3</v>
      </c>
      <c r="B13" s="13" t="s">
        <v>71</v>
      </c>
      <c r="C13" s="13" t="s">
        <v>19</v>
      </c>
      <c r="D13" s="13" t="s">
        <v>78</v>
      </c>
      <c r="E13" s="13" t="s">
        <v>79</v>
      </c>
      <c r="F13" s="13" t="s">
        <v>80</v>
      </c>
      <c r="G13" s="13">
        <v>3</v>
      </c>
      <c r="H13" s="13" t="s">
        <v>48</v>
      </c>
      <c r="I13" s="13"/>
    </row>
    <row r="14" spans="1:9" ht="23.25" customHeight="1" x14ac:dyDescent="0.3">
      <c r="A14" s="13">
        <v>4</v>
      </c>
      <c r="B14" s="13" t="s">
        <v>81</v>
      </c>
      <c r="C14" s="13" t="s">
        <v>18</v>
      </c>
      <c r="D14" s="13" t="s">
        <v>72</v>
      </c>
      <c r="E14" s="13" t="s">
        <v>82</v>
      </c>
      <c r="F14" s="13" t="s">
        <v>83</v>
      </c>
      <c r="G14" s="13">
        <v>3</v>
      </c>
      <c r="H14" s="13" t="s">
        <v>48</v>
      </c>
      <c r="I14" s="13"/>
    </row>
    <row r="15" spans="1:9" ht="23.25" customHeight="1" x14ac:dyDescent="0.3">
      <c r="A15" s="13">
        <v>4</v>
      </c>
      <c r="B15" s="13" t="s">
        <v>81</v>
      </c>
      <c r="C15" s="13" t="s">
        <v>19</v>
      </c>
      <c r="D15" s="13" t="s">
        <v>84</v>
      </c>
      <c r="E15" s="13" t="s">
        <v>85</v>
      </c>
      <c r="F15" s="13" t="s">
        <v>86</v>
      </c>
      <c r="G15" s="13">
        <v>3</v>
      </c>
      <c r="H15" s="13" t="s">
        <v>48</v>
      </c>
      <c r="I15" s="13"/>
    </row>
    <row r="16" spans="1:9" ht="23.25" customHeight="1" x14ac:dyDescent="0.3">
      <c r="A16" s="13">
        <v>4</v>
      </c>
      <c r="B16" s="13" t="s">
        <v>81</v>
      </c>
      <c r="C16" s="13" t="s">
        <v>23</v>
      </c>
      <c r="D16" s="13" t="s">
        <v>59</v>
      </c>
      <c r="E16" s="13" t="s">
        <v>87</v>
      </c>
      <c r="F16" s="13" t="s">
        <v>88</v>
      </c>
      <c r="G16" s="13">
        <v>3</v>
      </c>
      <c r="H16" s="13" t="s">
        <v>48</v>
      </c>
      <c r="I16" s="13"/>
    </row>
    <row r="17" spans="1:9" ht="23.25" customHeight="1" x14ac:dyDescent="0.3">
      <c r="A17" s="13">
        <v>5</v>
      </c>
      <c r="B17" s="13" t="s">
        <v>89</v>
      </c>
      <c r="C17" s="13" t="s">
        <v>18</v>
      </c>
      <c r="D17" s="13" t="s">
        <v>75</v>
      </c>
      <c r="E17" s="13" t="s">
        <v>90</v>
      </c>
      <c r="F17" s="13" t="s">
        <v>91</v>
      </c>
      <c r="G17" s="13">
        <v>3</v>
      </c>
      <c r="H17" s="13" t="s">
        <v>48</v>
      </c>
      <c r="I17" s="13"/>
    </row>
    <row r="18" spans="1:9" ht="23.25" customHeight="1" x14ac:dyDescent="0.3">
      <c r="A18" s="13">
        <v>5</v>
      </c>
      <c r="B18" s="13" t="s">
        <v>89</v>
      </c>
      <c r="C18" s="13" t="s">
        <v>19</v>
      </c>
      <c r="D18" s="13" t="s">
        <v>84</v>
      </c>
      <c r="E18" s="13" t="s">
        <v>92</v>
      </c>
      <c r="F18" s="13" t="s">
        <v>93</v>
      </c>
      <c r="G18" s="13">
        <v>3</v>
      </c>
      <c r="H18" s="13" t="s">
        <v>48</v>
      </c>
      <c r="I18" s="13"/>
    </row>
    <row r="19" spans="1:9" ht="23.25" customHeight="1" x14ac:dyDescent="0.3">
      <c r="A19" s="13">
        <v>5</v>
      </c>
      <c r="B19" s="13" t="s">
        <v>89</v>
      </c>
      <c r="C19" s="13" t="s">
        <v>23</v>
      </c>
      <c r="D19" s="13" t="s">
        <v>59</v>
      </c>
      <c r="E19" s="13" t="s">
        <v>94</v>
      </c>
      <c r="F19" s="13" t="s">
        <v>95</v>
      </c>
      <c r="G19" s="13">
        <v>3</v>
      </c>
      <c r="H19" s="13" t="s">
        <v>48</v>
      </c>
      <c r="I19" s="13"/>
    </row>
    <row r="20" spans="1:9" ht="23.25" customHeight="1" x14ac:dyDescent="0.3">
      <c r="A20" s="13">
        <v>6</v>
      </c>
      <c r="B20" s="13" t="s">
        <v>96</v>
      </c>
      <c r="C20" s="13" t="s">
        <v>18</v>
      </c>
      <c r="D20" s="13" t="s">
        <v>97</v>
      </c>
      <c r="E20" s="13" t="s">
        <v>98</v>
      </c>
      <c r="F20" s="13" t="s">
        <v>99</v>
      </c>
      <c r="G20" s="13">
        <v>3</v>
      </c>
      <c r="H20" s="13" t="s">
        <v>48</v>
      </c>
      <c r="I20" s="13"/>
    </row>
    <row r="21" spans="1:9" ht="23.25" customHeight="1" x14ac:dyDescent="0.3">
      <c r="A21" s="13">
        <v>6</v>
      </c>
      <c r="B21" s="13" t="s">
        <v>96</v>
      </c>
      <c r="C21" s="13" t="s">
        <v>19</v>
      </c>
      <c r="D21" s="13" t="s">
        <v>100</v>
      </c>
      <c r="E21" s="13" t="s">
        <v>101</v>
      </c>
      <c r="F21" s="13" t="s">
        <v>102</v>
      </c>
      <c r="G21" s="13">
        <v>3</v>
      </c>
      <c r="H21" s="13" t="s">
        <v>48</v>
      </c>
      <c r="I21" s="13"/>
    </row>
    <row r="22" spans="1:9" ht="23.25" customHeight="1" x14ac:dyDescent="0.3">
      <c r="A22" s="13">
        <v>6</v>
      </c>
      <c r="B22" s="13" t="s">
        <v>96</v>
      </c>
      <c r="C22" s="13" t="s">
        <v>19</v>
      </c>
      <c r="D22" s="13" t="s">
        <v>103</v>
      </c>
      <c r="E22" s="13" t="s">
        <v>104</v>
      </c>
      <c r="F22" s="13" t="s">
        <v>105</v>
      </c>
      <c r="G22" s="13">
        <v>2</v>
      </c>
      <c r="H22" s="13" t="s">
        <v>48</v>
      </c>
      <c r="I22" s="13"/>
    </row>
    <row r="23" spans="1:9" ht="23.25" customHeight="1" x14ac:dyDescent="0.3">
      <c r="A23" s="13">
        <v>6</v>
      </c>
      <c r="B23" s="13" t="s">
        <v>96</v>
      </c>
      <c r="C23" s="13" t="s">
        <v>19</v>
      </c>
      <c r="D23" s="13" t="s">
        <v>106</v>
      </c>
      <c r="E23" s="13" t="s">
        <v>107</v>
      </c>
      <c r="F23" s="13" t="s">
        <v>108</v>
      </c>
      <c r="G23" s="13">
        <v>1</v>
      </c>
      <c r="H23" s="13" t="s">
        <v>48</v>
      </c>
      <c r="I23" s="13"/>
    </row>
    <row r="24" spans="1:9" ht="23.25" customHeight="1" x14ac:dyDescent="0.3">
      <c r="A24" s="13">
        <v>6</v>
      </c>
      <c r="B24" s="13" t="s">
        <v>96</v>
      </c>
      <c r="C24" s="13" t="s">
        <v>23</v>
      </c>
      <c r="D24" s="13" t="s">
        <v>109</v>
      </c>
      <c r="E24" s="13" t="s">
        <v>110</v>
      </c>
      <c r="F24" s="13" t="s">
        <v>111</v>
      </c>
      <c r="G24" s="13">
        <v>3</v>
      </c>
      <c r="H24" s="13" t="s">
        <v>48</v>
      </c>
      <c r="I24" s="13"/>
    </row>
    <row r="25" spans="1:9" ht="23.25" customHeight="1" x14ac:dyDescent="0.3">
      <c r="A25" s="13">
        <v>7</v>
      </c>
      <c r="B25" s="13" t="s">
        <v>112</v>
      </c>
      <c r="C25" s="13" t="s">
        <v>18</v>
      </c>
      <c r="D25" s="13" t="s">
        <v>113</v>
      </c>
      <c r="E25" s="13" t="s">
        <v>114</v>
      </c>
      <c r="F25" s="13" t="s">
        <v>115</v>
      </c>
      <c r="G25" s="13">
        <v>3</v>
      </c>
      <c r="H25" s="13" t="s">
        <v>48</v>
      </c>
      <c r="I25" s="13"/>
    </row>
    <row r="26" spans="1:9" ht="23.25" customHeight="1" x14ac:dyDescent="0.3">
      <c r="A26" s="13">
        <v>7</v>
      </c>
      <c r="B26" s="13" t="s">
        <v>112</v>
      </c>
      <c r="C26" s="13" t="s">
        <v>19</v>
      </c>
      <c r="D26" s="13" t="s">
        <v>116</v>
      </c>
      <c r="E26" s="13" t="s">
        <v>117</v>
      </c>
      <c r="F26" s="13" t="s">
        <v>118</v>
      </c>
      <c r="G26" s="13">
        <v>3</v>
      </c>
      <c r="H26" s="13" t="s">
        <v>48</v>
      </c>
      <c r="I26" s="13"/>
    </row>
    <row r="27" spans="1:9" ht="15" customHeight="1" x14ac:dyDescent="0.3">
      <c r="A27" s="13">
        <v>8</v>
      </c>
      <c r="B27" s="13" t="s">
        <v>119</v>
      </c>
      <c r="C27" s="13" t="s">
        <v>18</v>
      </c>
      <c r="D27" s="13" t="s">
        <v>52</v>
      </c>
      <c r="E27" s="13" t="s">
        <v>120</v>
      </c>
      <c r="F27" s="13" t="s">
        <v>121</v>
      </c>
      <c r="G27" s="13">
        <v>3</v>
      </c>
      <c r="H27" s="13" t="s">
        <v>48</v>
      </c>
      <c r="I27" s="13"/>
    </row>
    <row r="28" spans="1:9" ht="23.25" customHeight="1" x14ac:dyDescent="0.3">
      <c r="A28" s="13">
        <v>8</v>
      </c>
      <c r="B28" s="13" t="s">
        <v>119</v>
      </c>
      <c r="C28" s="13" t="s">
        <v>19</v>
      </c>
      <c r="D28" s="13" t="s">
        <v>116</v>
      </c>
      <c r="E28" s="13" t="s">
        <v>122</v>
      </c>
      <c r="F28" s="13" t="s">
        <v>123</v>
      </c>
      <c r="G28" s="13">
        <v>3</v>
      </c>
      <c r="H28" s="13" t="s">
        <v>48</v>
      </c>
      <c r="I28" s="13"/>
    </row>
    <row r="29" spans="1:9" ht="23.25" customHeight="1" x14ac:dyDescent="0.3">
      <c r="A29" s="13">
        <v>8</v>
      </c>
      <c r="B29" s="13" t="s">
        <v>119</v>
      </c>
      <c r="C29" s="13" t="s">
        <v>23</v>
      </c>
      <c r="D29" s="13" t="s">
        <v>59</v>
      </c>
      <c r="E29" s="13" t="s">
        <v>124</v>
      </c>
      <c r="F29" s="13" t="s">
        <v>125</v>
      </c>
      <c r="G29" s="13">
        <v>2</v>
      </c>
      <c r="H29" s="13" t="s">
        <v>48</v>
      </c>
      <c r="I29" s="13"/>
    </row>
    <row r="30" spans="1:9" ht="23.25" customHeight="1" x14ac:dyDescent="0.3">
      <c r="A30" s="13">
        <v>9</v>
      </c>
      <c r="B30" s="13" t="s">
        <v>126</v>
      </c>
      <c r="C30" s="13" t="s">
        <v>18</v>
      </c>
      <c r="D30" s="13" t="s">
        <v>65</v>
      </c>
      <c r="E30" s="13" t="s">
        <v>127</v>
      </c>
      <c r="F30" s="13" t="s">
        <v>128</v>
      </c>
      <c r="G30" s="13">
        <v>2</v>
      </c>
      <c r="H30" s="13" t="s">
        <v>48</v>
      </c>
      <c r="I30" s="13"/>
    </row>
    <row r="31" spans="1:9" ht="23.25" customHeight="1" x14ac:dyDescent="0.3">
      <c r="A31" s="13">
        <v>9</v>
      </c>
      <c r="B31" s="13" t="s">
        <v>126</v>
      </c>
      <c r="C31" s="13" t="s">
        <v>19</v>
      </c>
      <c r="D31" s="13" t="s">
        <v>129</v>
      </c>
      <c r="E31" s="13" t="s">
        <v>130</v>
      </c>
      <c r="F31" s="13" t="s">
        <v>131</v>
      </c>
      <c r="G31" s="13">
        <v>3</v>
      </c>
      <c r="H31" s="13" t="s">
        <v>48</v>
      </c>
      <c r="I31" s="13"/>
    </row>
    <row r="32" spans="1:9" ht="23.25" customHeight="1" x14ac:dyDescent="0.3">
      <c r="A32" s="13">
        <v>9</v>
      </c>
      <c r="B32" s="13" t="s">
        <v>126</v>
      </c>
      <c r="C32" s="13" t="s">
        <v>19</v>
      </c>
      <c r="D32" s="13" t="s">
        <v>132</v>
      </c>
      <c r="E32" s="13" t="s">
        <v>133</v>
      </c>
      <c r="F32" s="13" t="s">
        <v>134</v>
      </c>
      <c r="G32" s="13">
        <v>2</v>
      </c>
      <c r="H32" s="13" t="s">
        <v>48</v>
      </c>
      <c r="I32" s="13"/>
    </row>
    <row r="33" spans="1:9" ht="23.25" customHeight="1" x14ac:dyDescent="0.3">
      <c r="A33" s="13">
        <v>10</v>
      </c>
      <c r="B33" s="13" t="s">
        <v>135</v>
      </c>
      <c r="C33" s="13" t="s">
        <v>18</v>
      </c>
      <c r="D33" s="13" t="s">
        <v>136</v>
      </c>
      <c r="E33" s="13" t="s">
        <v>137</v>
      </c>
      <c r="F33" s="13" t="s">
        <v>138</v>
      </c>
      <c r="G33" s="13">
        <v>3</v>
      </c>
      <c r="H33" s="13" t="s">
        <v>48</v>
      </c>
      <c r="I33" s="13"/>
    </row>
    <row r="34" spans="1:9" ht="15" customHeight="1" x14ac:dyDescent="0.3">
      <c r="A34" s="13">
        <v>10</v>
      </c>
      <c r="B34" s="13" t="s">
        <v>135</v>
      </c>
      <c r="C34" s="13" t="s">
        <v>19</v>
      </c>
      <c r="D34" s="13" t="s">
        <v>136</v>
      </c>
      <c r="E34" s="13" t="s">
        <v>139</v>
      </c>
      <c r="F34" s="13" t="s">
        <v>140</v>
      </c>
      <c r="G34" s="13">
        <v>2</v>
      </c>
      <c r="H34" s="13" t="s">
        <v>48</v>
      </c>
      <c r="I34" s="13"/>
    </row>
    <row r="35" spans="1:9" ht="23.25" customHeight="1" x14ac:dyDescent="0.3">
      <c r="A35" s="13">
        <v>10</v>
      </c>
      <c r="B35" s="13" t="s">
        <v>135</v>
      </c>
      <c r="C35" s="13" t="s">
        <v>19</v>
      </c>
      <c r="D35" s="13" t="s">
        <v>132</v>
      </c>
      <c r="E35" s="13" t="s">
        <v>141</v>
      </c>
      <c r="F35" s="13" t="s">
        <v>142</v>
      </c>
      <c r="G35" s="13">
        <v>2</v>
      </c>
      <c r="H35" s="13" t="s">
        <v>48</v>
      </c>
      <c r="I35" s="13"/>
    </row>
    <row r="36" spans="1:9" ht="23.25" customHeight="1" x14ac:dyDescent="0.3">
      <c r="A36" s="13">
        <v>10</v>
      </c>
      <c r="B36" s="13" t="s">
        <v>135</v>
      </c>
      <c r="C36" s="13" t="s">
        <v>23</v>
      </c>
      <c r="D36" s="13" t="s">
        <v>109</v>
      </c>
      <c r="E36" s="13" t="s">
        <v>143</v>
      </c>
      <c r="F36" s="13" t="s">
        <v>144</v>
      </c>
      <c r="G36" s="13">
        <v>2</v>
      </c>
      <c r="H36" s="13" t="s">
        <v>48</v>
      </c>
      <c r="I36" s="13"/>
    </row>
  </sheetData>
  <dataValidations count="1">
    <dataValidation type="list" allowBlank="1" sqref="H2:H36" xr:uid="{00000000-0002-0000-01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3" width="8" customWidth="1"/>
    <col min="4" max="4" width="42" customWidth="1"/>
    <col min="5" max="5" width="8" customWidth="1"/>
    <col min="6" max="6" width="10" customWidth="1"/>
    <col min="7" max="7" width="8" customWidth="1"/>
    <col min="8" max="8" width="14" customWidth="1"/>
    <col min="9" max="9" width="13" customWidth="1"/>
    <col min="10" max="10" width="16" customWidth="1"/>
    <col min="11" max="11" width="20" customWidth="1"/>
  </cols>
  <sheetData>
    <row r="1" spans="1:11" ht="23.25" customHeight="1" x14ac:dyDescent="0.3">
      <c r="A1" s="12" t="s">
        <v>145</v>
      </c>
      <c r="B1" s="12" t="s">
        <v>146</v>
      </c>
      <c r="C1" s="12" t="s">
        <v>147</v>
      </c>
      <c r="D1" s="12" t="s">
        <v>148</v>
      </c>
      <c r="E1" s="12" t="s">
        <v>38</v>
      </c>
      <c r="F1" s="12" t="s">
        <v>37</v>
      </c>
      <c r="G1" s="12" t="s">
        <v>149</v>
      </c>
      <c r="H1" s="12" t="s">
        <v>150</v>
      </c>
      <c r="I1" s="12" t="s">
        <v>42</v>
      </c>
      <c r="J1" s="12" t="s">
        <v>151</v>
      </c>
      <c r="K1" s="12" t="s">
        <v>43</v>
      </c>
    </row>
    <row r="2" spans="1:11" ht="15" customHeight="1" x14ac:dyDescent="0.3">
      <c r="A2" s="13">
        <v>1</v>
      </c>
      <c r="B2" s="13" t="s">
        <v>152</v>
      </c>
      <c r="C2" s="13" t="s">
        <v>153</v>
      </c>
      <c r="D2" s="13" t="s">
        <v>154</v>
      </c>
      <c r="E2" s="13" t="s">
        <v>49</v>
      </c>
      <c r="F2" s="13" t="s">
        <v>18</v>
      </c>
      <c r="G2" s="13">
        <v>2</v>
      </c>
      <c r="H2" s="13" t="s">
        <v>155</v>
      </c>
      <c r="I2" s="13" t="s">
        <v>48</v>
      </c>
      <c r="J2" s="13" t="s">
        <v>156</v>
      </c>
      <c r="K2" s="13"/>
    </row>
    <row r="3" spans="1:11" ht="15" customHeight="1" x14ac:dyDescent="0.3">
      <c r="A3" s="13">
        <v>2</v>
      </c>
      <c r="B3" s="13" t="s">
        <v>152</v>
      </c>
      <c r="C3" s="13" t="s">
        <v>153</v>
      </c>
      <c r="D3" s="13" t="s">
        <v>157</v>
      </c>
      <c r="E3" s="13" t="s">
        <v>49</v>
      </c>
      <c r="F3" s="13" t="s">
        <v>18</v>
      </c>
      <c r="G3" s="13">
        <v>2</v>
      </c>
      <c r="H3" s="13" t="s">
        <v>155</v>
      </c>
      <c r="I3" s="13" t="s">
        <v>48</v>
      </c>
      <c r="J3" s="13" t="s">
        <v>156</v>
      </c>
      <c r="K3" s="13"/>
    </row>
    <row r="4" spans="1:11" ht="15" customHeight="1" x14ac:dyDescent="0.3">
      <c r="A4" s="13">
        <v>3</v>
      </c>
      <c r="B4" s="13" t="s">
        <v>152</v>
      </c>
      <c r="C4" s="13" t="s">
        <v>153</v>
      </c>
      <c r="D4" s="13" t="s">
        <v>158</v>
      </c>
      <c r="E4" s="13" t="s">
        <v>49</v>
      </c>
      <c r="F4" s="13" t="s">
        <v>18</v>
      </c>
      <c r="G4" s="13">
        <v>2</v>
      </c>
      <c r="H4" s="13" t="s">
        <v>159</v>
      </c>
      <c r="I4" s="13" t="s">
        <v>48</v>
      </c>
      <c r="J4" s="13" t="s">
        <v>156</v>
      </c>
      <c r="K4" s="13"/>
    </row>
    <row r="5" spans="1:11" ht="15" customHeight="1" x14ac:dyDescent="0.3">
      <c r="A5" s="13">
        <v>4</v>
      </c>
      <c r="B5" s="13" t="s">
        <v>152</v>
      </c>
      <c r="C5" s="13" t="s">
        <v>153</v>
      </c>
      <c r="D5" s="13" t="s">
        <v>160</v>
      </c>
      <c r="E5" s="13" t="s">
        <v>49</v>
      </c>
      <c r="F5" s="13" t="s">
        <v>18</v>
      </c>
      <c r="G5" s="13">
        <v>2</v>
      </c>
      <c r="H5" s="13" t="s">
        <v>161</v>
      </c>
      <c r="I5" s="13" t="s">
        <v>48</v>
      </c>
      <c r="J5" s="13" t="s">
        <v>156</v>
      </c>
      <c r="K5" s="13"/>
    </row>
    <row r="6" spans="1:11" ht="15" customHeight="1" x14ac:dyDescent="0.3">
      <c r="A6" s="13">
        <v>5</v>
      </c>
      <c r="B6" s="13" t="s">
        <v>152</v>
      </c>
      <c r="C6" s="13" t="s">
        <v>162</v>
      </c>
      <c r="D6" s="13" t="s">
        <v>163</v>
      </c>
      <c r="E6" s="13" t="s">
        <v>49</v>
      </c>
      <c r="F6" s="13" t="s">
        <v>18</v>
      </c>
      <c r="G6" s="13">
        <v>2</v>
      </c>
      <c r="H6" s="13" t="s">
        <v>164</v>
      </c>
      <c r="I6" s="13" t="s">
        <v>48</v>
      </c>
      <c r="J6" s="13" t="s">
        <v>156</v>
      </c>
      <c r="K6" s="13"/>
    </row>
    <row r="7" spans="1:11" ht="15" customHeight="1" x14ac:dyDescent="0.3">
      <c r="A7" s="13">
        <v>6</v>
      </c>
      <c r="B7" s="13" t="s">
        <v>165</v>
      </c>
      <c r="C7" s="13" t="s">
        <v>162</v>
      </c>
      <c r="D7" s="13" t="s">
        <v>166</v>
      </c>
      <c r="E7" s="13" t="s">
        <v>49</v>
      </c>
      <c r="F7" s="13" t="s">
        <v>18</v>
      </c>
      <c r="G7" s="13">
        <v>2</v>
      </c>
      <c r="H7" s="13" t="s">
        <v>167</v>
      </c>
      <c r="I7" s="13" t="s">
        <v>48</v>
      </c>
      <c r="J7" s="13" t="s">
        <v>156</v>
      </c>
      <c r="K7" s="13"/>
    </row>
    <row r="8" spans="1:11" ht="15" customHeight="1" x14ac:dyDescent="0.3">
      <c r="A8" s="13">
        <v>7</v>
      </c>
      <c r="B8" s="13" t="s">
        <v>152</v>
      </c>
      <c r="C8" s="13" t="s">
        <v>168</v>
      </c>
      <c r="D8" s="13" t="s">
        <v>169</v>
      </c>
      <c r="E8" s="13" t="s">
        <v>49</v>
      </c>
      <c r="F8" s="13" t="s">
        <v>18</v>
      </c>
      <c r="G8" s="13">
        <v>2</v>
      </c>
      <c r="H8" s="13" t="s">
        <v>170</v>
      </c>
      <c r="I8" s="13" t="s">
        <v>48</v>
      </c>
      <c r="J8" s="13" t="s">
        <v>156</v>
      </c>
      <c r="K8" s="13"/>
    </row>
    <row r="9" spans="1:11" ht="15" customHeight="1" x14ac:dyDescent="0.3">
      <c r="A9" s="13">
        <v>8</v>
      </c>
      <c r="B9" s="13" t="s">
        <v>152</v>
      </c>
      <c r="C9" s="13" t="s">
        <v>153</v>
      </c>
      <c r="D9" s="13" t="s">
        <v>171</v>
      </c>
      <c r="E9" s="13" t="s">
        <v>49</v>
      </c>
      <c r="F9" s="13" t="s">
        <v>18</v>
      </c>
      <c r="G9" s="13">
        <v>2</v>
      </c>
      <c r="H9" s="13" t="s">
        <v>172</v>
      </c>
      <c r="I9" s="13" t="s">
        <v>48</v>
      </c>
      <c r="J9" s="13" t="s">
        <v>156</v>
      </c>
      <c r="K9" s="13"/>
    </row>
    <row r="10" spans="1:11" ht="15" customHeight="1" x14ac:dyDescent="0.3">
      <c r="A10" s="13">
        <v>9</v>
      </c>
      <c r="B10" s="13" t="s">
        <v>165</v>
      </c>
      <c r="C10" s="13" t="s">
        <v>153</v>
      </c>
      <c r="D10" s="13" t="s">
        <v>173</v>
      </c>
      <c r="E10" s="13" t="s">
        <v>49</v>
      </c>
      <c r="F10" s="13" t="s">
        <v>18</v>
      </c>
      <c r="G10" s="13">
        <v>2</v>
      </c>
      <c r="H10" s="13" t="s">
        <v>172</v>
      </c>
      <c r="I10" s="13" t="s">
        <v>48</v>
      </c>
      <c r="J10" s="13" t="s">
        <v>156</v>
      </c>
      <c r="K10" s="13"/>
    </row>
    <row r="11" spans="1:11" ht="15" customHeight="1" x14ac:dyDescent="0.3">
      <c r="A11" s="13">
        <v>10</v>
      </c>
      <c r="B11" s="13" t="s">
        <v>152</v>
      </c>
      <c r="C11" s="13" t="s">
        <v>162</v>
      </c>
      <c r="D11" s="13" t="s">
        <v>174</v>
      </c>
      <c r="E11" s="13" t="s">
        <v>49</v>
      </c>
      <c r="F11" s="13" t="s">
        <v>18</v>
      </c>
      <c r="G11" s="13">
        <v>2</v>
      </c>
      <c r="H11" s="13" t="s">
        <v>170</v>
      </c>
      <c r="I11" s="13" t="s">
        <v>48</v>
      </c>
      <c r="J11" s="13" t="s">
        <v>156</v>
      </c>
      <c r="K11" s="13"/>
    </row>
    <row r="12" spans="1:11" ht="15" customHeight="1" x14ac:dyDescent="0.3">
      <c r="A12" s="13">
        <v>11</v>
      </c>
      <c r="B12" s="13" t="s">
        <v>152</v>
      </c>
      <c r="C12" s="13" t="s">
        <v>168</v>
      </c>
      <c r="D12" s="13" t="s">
        <v>174</v>
      </c>
      <c r="E12" s="13" t="s">
        <v>49</v>
      </c>
      <c r="F12" s="13" t="s">
        <v>18</v>
      </c>
      <c r="G12" s="13">
        <v>2</v>
      </c>
      <c r="H12" s="13" t="s">
        <v>170</v>
      </c>
      <c r="I12" s="13" t="s">
        <v>48</v>
      </c>
      <c r="J12" s="13" t="s">
        <v>156</v>
      </c>
      <c r="K12" s="13"/>
    </row>
    <row r="13" spans="1:11" ht="15" customHeight="1" x14ac:dyDescent="0.3">
      <c r="A13" s="13">
        <v>12</v>
      </c>
      <c r="B13" s="13" t="s">
        <v>152</v>
      </c>
      <c r="C13" s="13" t="s">
        <v>162</v>
      </c>
      <c r="D13" s="13" t="s">
        <v>175</v>
      </c>
      <c r="E13" s="13" t="s">
        <v>65</v>
      </c>
      <c r="F13" s="13" t="s">
        <v>19</v>
      </c>
      <c r="G13" s="13">
        <v>2</v>
      </c>
      <c r="H13" s="13" t="s">
        <v>155</v>
      </c>
      <c r="I13" s="13" t="s">
        <v>48</v>
      </c>
      <c r="J13" s="13" t="s">
        <v>156</v>
      </c>
      <c r="K13" s="13"/>
    </row>
    <row r="14" spans="1:11" ht="15" customHeight="1" x14ac:dyDescent="0.3">
      <c r="A14" s="13">
        <v>13</v>
      </c>
      <c r="B14" s="13" t="s">
        <v>152</v>
      </c>
      <c r="C14" s="13" t="s">
        <v>162</v>
      </c>
      <c r="D14" s="13" t="s">
        <v>176</v>
      </c>
      <c r="E14" s="13" t="s">
        <v>65</v>
      </c>
      <c r="F14" s="13" t="s">
        <v>19</v>
      </c>
      <c r="G14" s="13">
        <v>2</v>
      </c>
      <c r="H14" s="13" t="s">
        <v>155</v>
      </c>
      <c r="I14" s="13" t="s">
        <v>48</v>
      </c>
      <c r="J14" s="13" t="s">
        <v>156</v>
      </c>
      <c r="K14" s="13"/>
    </row>
    <row r="15" spans="1:11" ht="15" customHeight="1" x14ac:dyDescent="0.3">
      <c r="A15" s="13">
        <v>14</v>
      </c>
      <c r="B15" s="13" t="s">
        <v>152</v>
      </c>
      <c r="C15" s="13" t="s">
        <v>162</v>
      </c>
      <c r="D15" s="13" t="s">
        <v>177</v>
      </c>
      <c r="E15" s="13" t="s">
        <v>65</v>
      </c>
      <c r="F15" s="13" t="s">
        <v>19</v>
      </c>
      <c r="G15" s="13">
        <v>2</v>
      </c>
      <c r="H15" s="13" t="s">
        <v>155</v>
      </c>
      <c r="I15" s="13" t="s">
        <v>48</v>
      </c>
      <c r="J15" s="13" t="s">
        <v>156</v>
      </c>
      <c r="K15" s="13"/>
    </row>
    <row r="16" spans="1:11" ht="15" customHeight="1" x14ac:dyDescent="0.3">
      <c r="A16" s="13">
        <v>15</v>
      </c>
      <c r="B16" s="13" t="s">
        <v>152</v>
      </c>
      <c r="C16" s="13" t="s">
        <v>162</v>
      </c>
      <c r="D16" s="13" t="s">
        <v>178</v>
      </c>
      <c r="E16" s="13" t="s">
        <v>65</v>
      </c>
      <c r="F16" s="13" t="s">
        <v>19</v>
      </c>
      <c r="G16" s="13">
        <v>2</v>
      </c>
      <c r="H16" s="13" t="s">
        <v>155</v>
      </c>
      <c r="I16" s="13" t="s">
        <v>48</v>
      </c>
      <c r="J16" s="13" t="s">
        <v>156</v>
      </c>
      <c r="K16" s="13"/>
    </row>
    <row r="17" spans="1:11" ht="15" customHeight="1" x14ac:dyDescent="0.3">
      <c r="A17" s="13">
        <v>16</v>
      </c>
      <c r="B17" s="13" t="s">
        <v>152</v>
      </c>
      <c r="C17" s="13" t="s">
        <v>153</v>
      </c>
      <c r="D17" s="13" t="s">
        <v>179</v>
      </c>
      <c r="E17" s="13" t="s">
        <v>65</v>
      </c>
      <c r="F17" s="13" t="s">
        <v>19</v>
      </c>
      <c r="G17" s="13">
        <v>2</v>
      </c>
      <c r="H17" s="13" t="s">
        <v>180</v>
      </c>
      <c r="I17" s="13" t="s">
        <v>48</v>
      </c>
      <c r="J17" s="13" t="s">
        <v>156</v>
      </c>
      <c r="K17" s="13"/>
    </row>
    <row r="18" spans="1:11" ht="15" customHeight="1" x14ac:dyDescent="0.3">
      <c r="A18" s="13">
        <v>17</v>
      </c>
      <c r="B18" s="13" t="s">
        <v>152</v>
      </c>
      <c r="C18" s="13" t="s">
        <v>162</v>
      </c>
      <c r="D18" s="13" t="s">
        <v>179</v>
      </c>
      <c r="E18" s="13" t="s">
        <v>65</v>
      </c>
      <c r="F18" s="13" t="s">
        <v>19</v>
      </c>
      <c r="G18" s="13">
        <v>2</v>
      </c>
      <c r="H18" s="13" t="s">
        <v>181</v>
      </c>
      <c r="I18" s="13" t="s">
        <v>48</v>
      </c>
      <c r="J18" s="13" t="s">
        <v>156</v>
      </c>
      <c r="K18" s="13"/>
    </row>
    <row r="19" spans="1:11" ht="15" customHeight="1" x14ac:dyDescent="0.3">
      <c r="A19" s="13">
        <v>18</v>
      </c>
      <c r="B19" s="13" t="s">
        <v>152</v>
      </c>
      <c r="C19" s="13" t="s">
        <v>162</v>
      </c>
      <c r="D19" s="13" t="s">
        <v>182</v>
      </c>
      <c r="E19" s="13" t="s">
        <v>65</v>
      </c>
      <c r="F19" s="13" t="s">
        <v>19</v>
      </c>
      <c r="G19" s="13">
        <v>2</v>
      </c>
      <c r="H19" s="13" t="s">
        <v>155</v>
      </c>
      <c r="I19" s="13" t="s">
        <v>48</v>
      </c>
      <c r="J19" s="13" t="s">
        <v>156</v>
      </c>
      <c r="K19" s="13"/>
    </row>
    <row r="20" spans="1:11" ht="15" customHeight="1" x14ac:dyDescent="0.3">
      <c r="A20" s="13">
        <v>19</v>
      </c>
      <c r="B20" s="13" t="s">
        <v>152</v>
      </c>
      <c r="C20" s="13" t="s">
        <v>183</v>
      </c>
      <c r="D20" s="13" t="s">
        <v>184</v>
      </c>
      <c r="E20" s="13" t="s">
        <v>65</v>
      </c>
      <c r="F20" s="13" t="s">
        <v>19</v>
      </c>
      <c r="G20" s="13">
        <v>2</v>
      </c>
      <c r="H20" s="13" t="s">
        <v>170</v>
      </c>
      <c r="I20" s="13" t="s">
        <v>48</v>
      </c>
      <c r="J20" s="13" t="s">
        <v>156</v>
      </c>
      <c r="K20" s="13"/>
    </row>
    <row r="21" spans="1:11" ht="15" customHeight="1" x14ac:dyDescent="0.3">
      <c r="A21" s="13">
        <v>20</v>
      </c>
      <c r="B21" s="13" t="s">
        <v>152</v>
      </c>
      <c r="C21" s="13" t="s">
        <v>185</v>
      </c>
      <c r="D21" s="13" t="s">
        <v>186</v>
      </c>
      <c r="E21" s="13" t="s">
        <v>65</v>
      </c>
      <c r="F21" s="13" t="s">
        <v>19</v>
      </c>
      <c r="G21" s="13">
        <v>2</v>
      </c>
      <c r="H21" s="13" t="s">
        <v>170</v>
      </c>
      <c r="I21" s="13" t="s">
        <v>48</v>
      </c>
      <c r="J21" s="13" t="s">
        <v>156</v>
      </c>
      <c r="K21" s="13"/>
    </row>
    <row r="22" spans="1:11" ht="15" customHeight="1" x14ac:dyDescent="0.3">
      <c r="A22" s="13">
        <v>21</v>
      </c>
      <c r="B22" s="13" t="s">
        <v>165</v>
      </c>
      <c r="C22" s="13" t="s">
        <v>183</v>
      </c>
      <c r="D22" s="13" t="s">
        <v>187</v>
      </c>
      <c r="E22" s="13" t="s">
        <v>65</v>
      </c>
      <c r="F22" s="13" t="s">
        <v>18</v>
      </c>
      <c r="G22" s="13">
        <v>9</v>
      </c>
      <c r="H22" s="13" t="s">
        <v>172</v>
      </c>
      <c r="I22" s="13" t="s">
        <v>48</v>
      </c>
      <c r="J22" s="13" t="s">
        <v>156</v>
      </c>
      <c r="K22" s="13"/>
    </row>
    <row r="23" spans="1:11" ht="23.25" customHeight="1" x14ac:dyDescent="0.3">
      <c r="A23" s="13">
        <v>22</v>
      </c>
      <c r="B23" s="13" t="s">
        <v>165</v>
      </c>
      <c r="C23" s="13" t="s">
        <v>153</v>
      </c>
      <c r="D23" s="13" t="s">
        <v>188</v>
      </c>
      <c r="E23" s="13" t="s">
        <v>65</v>
      </c>
      <c r="F23" s="13" t="s">
        <v>18</v>
      </c>
      <c r="G23" s="13">
        <v>9</v>
      </c>
      <c r="H23" s="13" t="s">
        <v>189</v>
      </c>
      <c r="I23" s="13" t="s">
        <v>48</v>
      </c>
      <c r="J23" s="13" t="s">
        <v>156</v>
      </c>
      <c r="K23" s="13"/>
    </row>
    <row r="24" spans="1:11" ht="15" customHeight="1" x14ac:dyDescent="0.3">
      <c r="A24" s="13">
        <v>23</v>
      </c>
      <c r="B24" s="13" t="s">
        <v>152</v>
      </c>
      <c r="C24" s="13" t="s">
        <v>153</v>
      </c>
      <c r="D24" s="13" t="s">
        <v>190</v>
      </c>
      <c r="E24" s="13" t="s">
        <v>72</v>
      </c>
      <c r="F24" s="13" t="s">
        <v>18</v>
      </c>
      <c r="G24" s="13">
        <v>3</v>
      </c>
      <c r="H24" s="13" t="s">
        <v>172</v>
      </c>
      <c r="I24" s="13" t="s">
        <v>48</v>
      </c>
      <c r="J24" s="13" t="s">
        <v>156</v>
      </c>
      <c r="K24" s="13"/>
    </row>
    <row r="25" spans="1:11" ht="15" customHeight="1" x14ac:dyDescent="0.3">
      <c r="A25" s="13">
        <v>24</v>
      </c>
      <c r="B25" s="13" t="s">
        <v>152</v>
      </c>
      <c r="C25" s="13" t="s">
        <v>162</v>
      </c>
      <c r="D25" s="13" t="s">
        <v>191</v>
      </c>
      <c r="E25" s="13" t="s">
        <v>72</v>
      </c>
      <c r="F25" s="13" t="s">
        <v>18</v>
      </c>
      <c r="G25" s="13">
        <v>3</v>
      </c>
      <c r="H25" s="13" t="s">
        <v>192</v>
      </c>
      <c r="I25" s="13" t="s">
        <v>48</v>
      </c>
      <c r="J25" s="13" t="s">
        <v>156</v>
      </c>
      <c r="K25" s="13"/>
    </row>
    <row r="26" spans="1:11" ht="15" customHeight="1" x14ac:dyDescent="0.3">
      <c r="A26" s="13">
        <v>25</v>
      </c>
      <c r="B26" s="13" t="s">
        <v>165</v>
      </c>
      <c r="C26" s="13" t="s">
        <v>162</v>
      </c>
      <c r="D26" s="13" t="s">
        <v>193</v>
      </c>
      <c r="E26" s="13" t="s">
        <v>72</v>
      </c>
      <c r="F26" s="13" t="s">
        <v>18</v>
      </c>
      <c r="G26" s="13">
        <v>3</v>
      </c>
      <c r="H26" s="13" t="s">
        <v>167</v>
      </c>
      <c r="I26" s="13" t="s">
        <v>48</v>
      </c>
      <c r="J26" s="13" t="s">
        <v>156</v>
      </c>
      <c r="K26" s="13"/>
    </row>
    <row r="27" spans="1:11" ht="15" customHeight="1" x14ac:dyDescent="0.3">
      <c r="A27" s="13">
        <v>26</v>
      </c>
      <c r="B27" s="13" t="s">
        <v>152</v>
      </c>
      <c r="C27" s="13" t="s">
        <v>153</v>
      </c>
      <c r="D27" s="13" t="s">
        <v>194</v>
      </c>
      <c r="E27" s="13" t="s">
        <v>72</v>
      </c>
      <c r="F27" s="13" t="s">
        <v>18</v>
      </c>
      <c r="G27" s="13">
        <v>3</v>
      </c>
      <c r="H27" s="13" t="s">
        <v>195</v>
      </c>
      <c r="I27" s="13" t="s">
        <v>48</v>
      </c>
      <c r="J27" s="13" t="s">
        <v>156</v>
      </c>
      <c r="K27" s="13"/>
    </row>
    <row r="28" spans="1:11" ht="15" customHeight="1" x14ac:dyDescent="0.3">
      <c r="A28" s="13">
        <v>27</v>
      </c>
      <c r="B28" s="13" t="s">
        <v>152</v>
      </c>
      <c r="C28" s="13" t="s">
        <v>153</v>
      </c>
      <c r="D28" s="13" t="s">
        <v>196</v>
      </c>
      <c r="E28" s="13" t="s">
        <v>72</v>
      </c>
      <c r="F28" s="13" t="s">
        <v>18</v>
      </c>
      <c r="G28" s="13">
        <v>3</v>
      </c>
      <c r="H28" s="13" t="s">
        <v>197</v>
      </c>
      <c r="I28" s="13" t="s">
        <v>48</v>
      </c>
      <c r="J28" s="13" t="s">
        <v>156</v>
      </c>
      <c r="K28" s="13"/>
    </row>
    <row r="29" spans="1:11" ht="15" customHeight="1" x14ac:dyDescent="0.3">
      <c r="A29" s="13">
        <v>28</v>
      </c>
      <c r="B29" s="13" t="s">
        <v>165</v>
      </c>
      <c r="C29" s="13" t="s">
        <v>153</v>
      </c>
      <c r="D29" s="13" t="s">
        <v>198</v>
      </c>
      <c r="E29" s="13" t="s">
        <v>72</v>
      </c>
      <c r="F29" s="13" t="s">
        <v>18</v>
      </c>
      <c r="G29" s="13">
        <v>4</v>
      </c>
      <c r="H29" s="13" t="s">
        <v>199</v>
      </c>
      <c r="I29" s="13" t="s">
        <v>48</v>
      </c>
      <c r="J29" s="13" t="s">
        <v>156</v>
      </c>
      <c r="K29" s="13"/>
    </row>
    <row r="30" spans="1:11" ht="15" customHeight="1" x14ac:dyDescent="0.3">
      <c r="A30" s="13">
        <v>29</v>
      </c>
      <c r="B30" s="13" t="s">
        <v>165</v>
      </c>
      <c r="C30" s="13" t="s">
        <v>153</v>
      </c>
      <c r="D30" s="13" t="s">
        <v>200</v>
      </c>
      <c r="E30" s="13" t="s">
        <v>72</v>
      </c>
      <c r="F30" s="13" t="s">
        <v>18</v>
      </c>
      <c r="G30" s="13">
        <v>4</v>
      </c>
      <c r="H30" s="13" t="s">
        <v>199</v>
      </c>
      <c r="I30" s="13" t="s">
        <v>48</v>
      </c>
      <c r="J30" s="13" t="s">
        <v>156</v>
      </c>
      <c r="K30" s="13"/>
    </row>
    <row r="31" spans="1:11" ht="15" customHeight="1" x14ac:dyDescent="0.3">
      <c r="A31" s="13">
        <v>30</v>
      </c>
      <c r="B31" s="13" t="s">
        <v>165</v>
      </c>
      <c r="C31" s="13" t="s">
        <v>153</v>
      </c>
      <c r="D31" s="13" t="s">
        <v>201</v>
      </c>
      <c r="E31" s="13" t="s">
        <v>72</v>
      </c>
      <c r="F31" s="13" t="s">
        <v>18</v>
      </c>
      <c r="G31" s="13">
        <v>4</v>
      </c>
      <c r="H31" s="13" t="s">
        <v>202</v>
      </c>
      <c r="I31" s="13" t="s">
        <v>48</v>
      </c>
      <c r="J31" s="13" t="s">
        <v>156</v>
      </c>
      <c r="K31" s="13"/>
    </row>
    <row r="32" spans="1:11" ht="15" customHeight="1" x14ac:dyDescent="0.3">
      <c r="A32" s="13">
        <v>31</v>
      </c>
      <c r="B32" s="13" t="s">
        <v>165</v>
      </c>
      <c r="C32" s="13" t="s">
        <v>153</v>
      </c>
      <c r="D32" s="13" t="s">
        <v>203</v>
      </c>
      <c r="E32" s="13" t="s">
        <v>72</v>
      </c>
      <c r="F32" s="13" t="s">
        <v>18</v>
      </c>
      <c r="G32" s="13">
        <v>4</v>
      </c>
      <c r="H32" s="13" t="s">
        <v>195</v>
      </c>
      <c r="I32" s="13" t="s">
        <v>48</v>
      </c>
      <c r="J32" s="13" t="s">
        <v>156</v>
      </c>
      <c r="K32" s="13"/>
    </row>
    <row r="33" spans="1:11" ht="15" customHeight="1" x14ac:dyDescent="0.3">
      <c r="A33" s="13">
        <v>32</v>
      </c>
      <c r="B33" s="13" t="s">
        <v>165</v>
      </c>
      <c r="C33" s="13" t="s">
        <v>153</v>
      </c>
      <c r="D33" s="13" t="s">
        <v>204</v>
      </c>
      <c r="E33" s="13" t="s">
        <v>72</v>
      </c>
      <c r="F33" s="13" t="s">
        <v>18</v>
      </c>
      <c r="G33" s="13">
        <v>4</v>
      </c>
      <c r="H33" s="13" t="s">
        <v>195</v>
      </c>
      <c r="I33" s="13" t="s">
        <v>48</v>
      </c>
      <c r="J33" s="13" t="s">
        <v>156</v>
      </c>
      <c r="K33" s="13"/>
    </row>
    <row r="34" spans="1:11" ht="15" customHeight="1" x14ac:dyDescent="0.3">
      <c r="A34" s="13">
        <v>33</v>
      </c>
      <c r="B34" s="13" t="s">
        <v>165</v>
      </c>
      <c r="C34" s="13" t="s">
        <v>153</v>
      </c>
      <c r="D34" s="13" t="s">
        <v>205</v>
      </c>
      <c r="E34" s="13" t="s">
        <v>72</v>
      </c>
      <c r="F34" s="13" t="s">
        <v>18</v>
      </c>
      <c r="G34" s="13">
        <v>4</v>
      </c>
      <c r="H34" s="13" t="s">
        <v>206</v>
      </c>
      <c r="I34" s="13" t="s">
        <v>48</v>
      </c>
      <c r="J34" s="13" t="s">
        <v>156</v>
      </c>
      <c r="K34" s="13"/>
    </row>
    <row r="35" spans="1:11" ht="15" customHeight="1" x14ac:dyDescent="0.3">
      <c r="A35" s="13">
        <v>34</v>
      </c>
      <c r="B35" s="13" t="s">
        <v>165</v>
      </c>
      <c r="C35" s="13" t="s">
        <v>153</v>
      </c>
      <c r="D35" s="13" t="s">
        <v>207</v>
      </c>
      <c r="E35" s="13" t="s">
        <v>72</v>
      </c>
      <c r="F35" s="13" t="s">
        <v>18</v>
      </c>
      <c r="G35" s="13">
        <v>4</v>
      </c>
      <c r="H35" s="13" t="s">
        <v>208</v>
      </c>
      <c r="I35" s="13" t="s">
        <v>48</v>
      </c>
      <c r="J35" s="13" t="s">
        <v>156</v>
      </c>
      <c r="K35" s="13"/>
    </row>
    <row r="36" spans="1:11" ht="15" customHeight="1" x14ac:dyDescent="0.3">
      <c r="A36" s="13">
        <v>35</v>
      </c>
      <c r="B36" s="13" t="s">
        <v>165</v>
      </c>
      <c r="C36" s="13" t="s">
        <v>153</v>
      </c>
      <c r="D36" s="13" t="s">
        <v>209</v>
      </c>
      <c r="E36" s="13" t="s">
        <v>72</v>
      </c>
      <c r="F36" s="13" t="s">
        <v>18</v>
      </c>
      <c r="G36" s="13">
        <v>4</v>
      </c>
      <c r="H36" s="13" t="s">
        <v>199</v>
      </c>
      <c r="I36" s="13" t="s">
        <v>48</v>
      </c>
      <c r="J36" s="13" t="s">
        <v>156</v>
      </c>
      <c r="K36" s="13"/>
    </row>
    <row r="37" spans="1:11" ht="15" customHeight="1" x14ac:dyDescent="0.3">
      <c r="A37" s="13">
        <v>36</v>
      </c>
      <c r="B37" s="13" t="s">
        <v>165</v>
      </c>
      <c r="C37" s="13" t="s">
        <v>162</v>
      </c>
      <c r="D37" s="13" t="s">
        <v>209</v>
      </c>
      <c r="E37" s="13" t="s">
        <v>72</v>
      </c>
      <c r="F37" s="13" t="s">
        <v>18</v>
      </c>
      <c r="G37" s="13">
        <v>4</v>
      </c>
      <c r="H37" s="13" t="s">
        <v>197</v>
      </c>
      <c r="I37" s="13" t="s">
        <v>48</v>
      </c>
      <c r="J37" s="13" t="s">
        <v>156</v>
      </c>
      <c r="K37" s="13"/>
    </row>
    <row r="38" spans="1:11" ht="15" customHeight="1" x14ac:dyDescent="0.3">
      <c r="A38" s="13">
        <v>37</v>
      </c>
      <c r="B38" s="13" t="s">
        <v>152</v>
      </c>
      <c r="C38" s="13" t="s">
        <v>153</v>
      </c>
      <c r="D38" s="13" t="s">
        <v>210</v>
      </c>
      <c r="E38" s="13" t="s">
        <v>78</v>
      </c>
      <c r="F38" s="13" t="s">
        <v>19</v>
      </c>
      <c r="G38" s="13">
        <v>3</v>
      </c>
      <c r="H38" s="13" t="s">
        <v>195</v>
      </c>
      <c r="I38" s="13" t="s">
        <v>48</v>
      </c>
      <c r="J38" s="13" t="s">
        <v>156</v>
      </c>
      <c r="K38" s="13"/>
    </row>
    <row r="39" spans="1:11" ht="15" customHeight="1" x14ac:dyDescent="0.3">
      <c r="A39" s="13">
        <v>38</v>
      </c>
      <c r="B39" s="13" t="s">
        <v>152</v>
      </c>
      <c r="C39" s="13" t="s">
        <v>162</v>
      </c>
      <c r="D39" s="13" t="s">
        <v>210</v>
      </c>
      <c r="E39" s="13" t="s">
        <v>78</v>
      </c>
      <c r="F39" s="13" t="s">
        <v>19</v>
      </c>
      <c r="G39" s="13">
        <v>3</v>
      </c>
      <c r="H39" s="13" t="s">
        <v>211</v>
      </c>
      <c r="I39" s="13" t="s">
        <v>48</v>
      </c>
      <c r="J39" s="13" t="s">
        <v>156</v>
      </c>
      <c r="K39" s="13"/>
    </row>
    <row r="40" spans="1:11" ht="15" customHeight="1" x14ac:dyDescent="0.3">
      <c r="A40" s="13">
        <v>39</v>
      </c>
      <c r="B40" s="13" t="s">
        <v>152</v>
      </c>
      <c r="C40" s="13" t="s">
        <v>162</v>
      </c>
      <c r="D40" s="13" t="s">
        <v>212</v>
      </c>
      <c r="E40" s="13" t="s">
        <v>78</v>
      </c>
      <c r="F40" s="13" t="s">
        <v>19</v>
      </c>
      <c r="G40" s="13">
        <v>3</v>
      </c>
      <c r="H40" s="13" t="s">
        <v>167</v>
      </c>
      <c r="I40" s="13" t="s">
        <v>48</v>
      </c>
      <c r="J40" s="13" t="s">
        <v>156</v>
      </c>
      <c r="K40" s="13"/>
    </row>
    <row r="41" spans="1:11" ht="15" customHeight="1" x14ac:dyDescent="0.3">
      <c r="A41" s="13">
        <v>40</v>
      </c>
      <c r="B41" s="13" t="s">
        <v>152</v>
      </c>
      <c r="C41" s="13" t="s">
        <v>153</v>
      </c>
      <c r="D41" s="13" t="s">
        <v>213</v>
      </c>
      <c r="E41" s="13" t="s">
        <v>78</v>
      </c>
      <c r="F41" s="13" t="s">
        <v>19</v>
      </c>
      <c r="G41" s="13">
        <v>3</v>
      </c>
      <c r="H41" s="13" t="s">
        <v>199</v>
      </c>
      <c r="I41" s="13" t="s">
        <v>48</v>
      </c>
      <c r="J41" s="13" t="s">
        <v>156</v>
      </c>
      <c r="K41" s="13"/>
    </row>
    <row r="42" spans="1:11" ht="15" customHeight="1" x14ac:dyDescent="0.3">
      <c r="A42" s="13">
        <v>41</v>
      </c>
      <c r="B42" s="13" t="s">
        <v>165</v>
      </c>
      <c r="C42" s="13" t="s">
        <v>153</v>
      </c>
      <c r="D42" s="13" t="s">
        <v>214</v>
      </c>
      <c r="E42" s="13" t="s">
        <v>78</v>
      </c>
      <c r="F42" s="13" t="s">
        <v>19</v>
      </c>
      <c r="G42" s="13">
        <v>3</v>
      </c>
      <c r="H42" s="13" t="s">
        <v>199</v>
      </c>
      <c r="I42" s="13" t="s">
        <v>48</v>
      </c>
      <c r="J42" s="13" t="s">
        <v>156</v>
      </c>
      <c r="K42" s="13"/>
    </row>
    <row r="43" spans="1:11" ht="15" customHeight="1" x14ac:dyDescent="0.3">
      <c r="A43" s="13">
        <v>42</v>
      </c>
      <c r="B43" s="13" t="s">
        <v>165</v>
      </c>
      <c r="C43" s="13" t="s">
        <v>168</v>
      </c>
      <c r="D43" s="13" t="s">
        <v>215</v>
      </c>
      <c r="E43" s="13" t="s">
        <v>78</v>
      </c>
      <c r="F43" s="13" t="s">
        <v>19</v>
      </c>
      <c r="G43" s="13">
        <v>3</v>
      </c>
      <c r="H43" s="13" t="s">
        <v>199</v>
      </c>
      <c r="I43" s="13" t="s">
        <v>48</v>
      </c>
      <c r="J43" s="13" t="s">
        <v>156</v>
      </c>
      <c r="K43" s="13"/>
    </row>
    <row r="44" spans="1:11" ht="15" customHeight="1" x14ac:dyDescent="0.3">
      <c r="A44" s="13">
        <v>43</v>
      </c>
      <c r="B44" s="13" t="s">
        <v>152</v>
      </c>
      <c r="C44" s="13" t="s">
        <v>153</v>
      </c>
      <c r="D44" s="13" t="s">
        <v>216</v>
      </c>
      <c r="E44" s="13" t="s">
        <v>84</v>
      </c>
      <c r="F44" s="13" t="s">
        <v>19</v>
      </c>
      <c r="G44" s="13">
        <v>4</v>
      </c>
      <c r="H44" s="13" t="s">
        <v>199</v>
      </c>
      <c r="I44" s="13" t="s">
        <v>48</v>
      </c>
      <c r="J44" s="13" t="s">
        <v>156</v>
      </c>
      <c r="K44" s="13"/>
    </row>
    <row r="45" spans="1:11" ht="15" customHeight="1" x14ac:dyDescent="0.3">
      <c r="A45" s="13">
        <v>44</v>
      </c>
      <c r="B45" s="13" t="s">
        <v>152</v>
      </c>
      <c r="C45" s="13" t="s">
        <v>162</v>
      </c>
      <c r="D45" s="13" t="s">
        <v>216</v>
      </c>
      <c r="E45" s="13" t="s">
        <v>84</v>
      </c>
      <c r="F45" s="13" t="s">
        <v>19</v>
      </c>
      <c r="G45" s="13">
        <v>4</v>
      </c>
      <c r="H45" s="13" t="s">
        <v>211</v>
      </c>
      <c r="I45" s="13" t="s">
        <v>48</v>
      </c>
      <c r="J45" s="13" t="s">
        <v>156</v>
      </c>
      <c r="K45" s="13"/>
    </row>
    <row r="46" spans="1:11" ht="15" customHeight="1" x14ac:dyDescent="0.3">
      <c r="A46" s="13">
        <v>45</v>
      </c>
      <c r="B46" s="13" t="s">
        <v>152</v>
      </c>
      <c r="C46" s="13" t="s">
        <v>153</v>
      </c>
      <c r="D46" s="13" t="s">
        <v>217</v>
      </c>
      <c r="E46" s="13" t="s">
        <v>84</v>
      </c>
      <c r="F46" s="13" t="s">
        <v>19</v>
      </c>
      <c r="G46" s="13">
        <v>4</v>
      </c>
      <c r="H46" s="13" t="s">
        <v>218</v>
      </c>
      <c r="I46" s="13" t="s">
        <v>48</v>
      </c>
      <c r="J46" s="13" t="s">
        <v>156</v>
      </c>
      <c r="K46" s="13"/>
    </row>
    <row r="47" spans="1:11" ht="15" customHeight="1" x14ac:dyDescent="0.3">
      <c r="A47" s="13">
        <v>46</v>
      </c>
      <c r="B47" s="13" t="s">
        <v>165</v>
      </c>
      <c r="C47" s="13" t="s">
        <v>153</v>
      </c>
      <c r="D47" s="13" t="s">
        <v>219</v>
      </c>
      <c r="E47" s="13" t="s">
        <v>84</v>
      </c>
      <c r="F47" s="13" t="s">
        <v>19</v>
      </c>
      <c r="G47" s="13">
        <v>4</v>
      </c>
      <c r="H47" s="13" t="s">
        <v>197</v>
      </c>
      <c r="I47" s="13" t="s">
        <v>48</v>
      </c>
      <c r="J47" s="13" t="s">
        <v>156</v>
      </c>
      <c r="K47" s="13"/>
    </row>
    <row r="48" spans="1:11" ht="15" customHeight="1" x14ac:dyDescent="0.3">
      <c r="A48" s="13">
        <v>47</v>
      </c>
      <c r="B48" s="13" t="s">
        <v>152</v>
      </c>
      <c r="C48" s="13" t="s">
        <v>162</v>
      </c>
      <c r="D48" s="13" t="s">
        <v>220</v>
      </c>
      <c r="E48" s="13" t="s">
        <v>84</v>
      </c>
      <c r="F48" s="13" t="s">
        <v>19</v>
      </c>
      <c r="G48" s="13">
        <v>4</v>
      </c>
      <c r="H48" s="13" t="s">
        <v>167</v>
      </c>
      <c r="I48" s="13" t="s">
        <v>48</v>
      </c>
      <c r="J48" s="13" t="s">
        <v>156</v>
      </c>
      <c r="K48" s="13"/>
    </row>
    <row r="49" spans="1:11" ht="15" customHeight="1" x14ac:dyDescent="0.3">
      <c r="A49" s="13">
        <v>48</v>
      </c>
      <c r="B49" s="13" t="s">
        <v>152</v>
      </c>
      <c r="C49" s="13" t="s">
        <v>153</v>
      </c>
      <c r="D49" s="13" t="s">
        <v>221</v>
      </c>
      <c r="E49" s="13" t="s">
        <v>84</v>
      </c>
      <c r="F49" s="13" t="s">
        <v>19</v>
      </c>
      <c r="G49" s="13">
        <v>5</v>
      </c>
      <c r="H49" s="13" t="s">
        <v>199</v>
      </c>
      <c r="I49" s="13" t="s">
        <v>48</v>
      </c>
      <c r="J49" s="13" t="s">
        <v>156</v>
      </c>
      <c r="K49" s="13"/>
    </row>
    <row r="50" spans="1:11" ht="15" customHeight="1" x14ac:dyDescent="0.3">
      <c r="A50" s="13">
        <v>49</v>
      </c>
      <c r="B50" s="13" t="s">
        <v>152</v>
      </c>
      <c r="C50" s="13" t="s">
        <v>162</v>
      </c>
      <c r="D50" s="13" t="s">
        <v>221</v>
      </c>
      <c r="E50" s="13" t="s">
        <v>84</v>
      </c>
      <c r="F50" s="13" t="s">
        <v>19</v>
      </c>
      <c r="G50" s="13">
        <v>5</v>
      </c>
      <c r="H50" s="13" t="s">
        <v>167</v>
      </c>
      <c r="I50" s="13" t="s">
        <v>48</v>
      </c>
      <c r="J50" s="13" t="s">
        <v>156</v>
      </c>
      <c r="K50" s="13"/>
    </row>
    <row r="51" spans="1:11" ht="15" customHeight="1" x14ac:dyDescent="0.3">
      <c r="A51" s="13">
        <v>50</v>
      </c>
      <c r="B51" s="13" t="s">
        <v>152</v>
      </c>
      <c r="C51" s="13" t="s">
        <v>162</v>
      </c>
      <c r="D51" s="13" t="s">
        <v>222</v>
      </c>
      <c r="E51" s="13" t="s">
        <v>84</v>
      </c>
      <c r="F51" s="13" t="s">
        <v>19</v>
      </c>
      <c r="G51" s="13">
        <v>5</v>
      </c>
      <c r="H51" s="13" t="s">
        <v>223</v>
      </c>
      <c r="I51" s="13" t="s">
        <v>48</v>
      </c>
      <c r="J51" s="13" t="s">
        <v>156</v>
      </c>
      <c r="K51" s="13"/>
    </row>
    <row r="52" spans="1:11" ht="15" customHeight="1" x14ac:dyDescent="0.3">
      <c r="A52" s="13">
        <v>51</v>
      </c>
      <c r="B52" s="13" t="s">
        <v>165</v>
      </c>
      <c r="C52" s="13" t="s">
        <v>153</v>
      </c>
      <c r="D52" s="13" t="s">
        <v>224</v>
      </c>
      <c r="E52" s="13" t="s">
        <v>84</v>
      </c>
      <c r="F52" s="13" t="s">
        <v>19</v>
      </c>
      <c r="G52" s="13">
        <v>5</v>
      </c>
      <c r="H52" s="13" t="s">
        <v>225</v>
      </c>
      <c r="I52" s="13" t="s">
        <v>48</v>
      </c>
      <c r="J52" s="13" t="s">
        <v>156</v>
      </c>
      <c r="K52" s="13"/>
    </row>
    <row r="53" spans="1:11" ht="15" customHeight="1" x14ac:dyDescent="0.3">
      <c r="A53" s="13">
        <v>52</v>
      </c>
      <c r="B53" s="13" t="s">
        <v>165</v>
      </c>
      <c r="C53" s="13" t="s">
        <v>153</v>
      </c>
      <c r="D53" s="13" t="s">
        <v>226</v>
      </c>
      <c r="E53" s="13" t="s">
        <v>84</v>
      </c>
      <c r="F53" s="13" t="s">
        <v>19</v>
      </c>
      <c r="G53" s="13">
        <v>5</v>
      </c>
      <c r="H53" s="13" t="s">
        <v>199</v>
      </c>
      <c r="I53" s="13" t="s">
        <v>48</v>
      </c>
      <c r="J53" s="13" t="s">
        <v>156</v>
      </c>
      <c r="K53" s="13"/>
    </row>
    <row r="54" spans="1:11" ht="15" customHeight="1" x14ac:dyDescent="0.3">
      <c r="A54" s="13">
        <v>53</v>
      </c>
      <c r="B54" s="13" t="s">
        <v>152</v>
      </c>
      <c r="C54" s="13" t="s">
        <v>162</v>
      </c>
      <c r="D54" s="13" t="s">
        <v>227</v>
      </c>
      <c r="E54" s="13" t="s">
        <v>84</v>
      </c>
      <c r="F54" s="13" t="s">
        <v>19</v>
      </c>
      <c r="G54" s="13">
        <v>5</v>
      </c>
      <c r="H54" s="13" t="s">
        <v>223</v>
      </c>
      <c r="I54" s="13" t="s">
        <v>48</v>
      </c>
      <c r="J54" s="13" t="s">
        <v>156</v>
      </c>
      <c r="K54" s="13"/>
    </row>
    <row r="55" spans="1:11" ht="15" customHeight="1" x14ac:dyDescent="0.3">
      <c r="A55" s="13">
        <v>54</v>
      </c>
      <c r="B55" s="13" t="s">
        <v>152</v>
      </c>
      <c r="C55" s="13" t="s">
        <v>153</v>
      </c>
      <c r="D55" s="13" t="s">
        <v>228</v>
      </c>
      <c r="E55" s="13" t="s">
        <v>84</v>
      </c>
      <c r="F55" s="13" t="s">
        <v>19</v>
      </c>
      <c r="G55" s="13">
        <v>5</v>
      </c>
      <c r="H55" s="13" t="s">
        <v>199</v>
      </c>
      <c r="I55" s="13" t="s">
        <v>48</v>
      </c>
      <c r="J55" s="13" t="s">
        <v>156</v>
      </c>
      <c r="K55" s="13"/>
    </row>
    <row r="56" spans="1:11" ht="15" customHeight="1" x14ac:dyDescent="0.3">
      <c r="A56" s="13">
        <v>55</v>
      </c>
      <c r="B56" s="13" t="s">
        <v>152</v>
      </c>
      <c r="C56" s="13" t="s">
        <v>153</v>
      </c>
      <c r="D56" s="13" t="s">
        <v>229</v>
      </c>
      <c r="E56" s="13" t="s">
        <v>113</v>
      </c>
      <c r="F56" s="13" t="s">
        <v>18</v>
      </c>
      <c r="G56" s="13">
        <v>7</v>
      </c>
      <c r="H56" s="13" t="s">
        <v>202</v>
      </c>
      <c r="I56" s="13" t="s">
        <v>48</v>
      </c>
      <c r="J56" s="13" t="s">
        <v>156</v>
      </c>
      <c r="K56" s="13"/>
    </row>
    <row r="57" spans="1:11" ht="15" customHeight="1" x14ac:dyDescent="0.3">
      <c r="A57" s="13">
        <v>56</v>
      </c>
      <c r="B57" s="13" t="s">
        <v>152</v>
      </c>
      <c r="C57" s="13" t="s">
        <v>153</v>
      </c>
      <c r="D57" s="13" t="s">
        <v>230</v>
      </c>
      <c r="E57" s="13" t="s">
        <v>113</v>
      </c>
      <c r="F57" s="13" t="s">
        <v>18</v>
      </c>
      <c r="G57" s="13">
        <v>7</v>
      </c>
      <c r="H57" s="13" t="s">
        <v>231</v>
      </c>
      <c r="I57" s="13" t="s">
        <v>48</v>
      </c>
      <c r="J57" s="13" t="s">
        <v>156</v>
      </c>
      <c r="K57" s="13"/>
    </row>
    <row r="58" spans="1:11" ht="15" customHeight="1" x14ac:dyDescent="0.3">
      <c r="A58" s="13">
        <v>57</v>
      </c>
      <c r="B58" s="13" t="s">
        <v>152</v>
      </c>
      <c r="C58" s="13" t="s">
        <v>153</v>
      </c>
      <c r="D58" s="13" t="s">
        <v>232</v>
      </c>
      <c r="E58" s="13" t="s">
        <v>113</v>
      </c>
      <c r="F58" s="13" t="s">
        <v>18</v>
      </c>
      <c r="G58" s="13">
        <v>7</v>
      </c>
      <c r="H58" s="13" t="s">
        <v>199</v>
      </c>
      <c r="I58" s="13" t="s">
        <v>48</v>
      </c>
      <c r="J58" s="13" t="s">
        <v>156</v>
      </c>
      <c r="K58" s="13"/>
    </row>
    <row r="59" spans="1:11" ht="15" customHeight="1" x14ac:dyDescent="0.3">
      <c r="A59" s="13">
        <v>58</v>
      </c>
      <c r="B59" s="13" t="s">
        <v>152</v>
      </c>
      <c r="C59" s="13" t="s">
        <v>153</v>
      </c>
      <c r="D59" s="13" t="s">
        <v>233</v>
      </c>
      <c r="E59" s="13" t="s">
        <v>113</v>
      </c>
      <c r="F59" s="13" t="s">
        <v>18</v>
      </c>
      <c r="G59" s="13">
        <v>7</v>
      </c>
      <c r="H59" s="13" t="s">
        <v>199</v>
      </c>
      <c r="I59" s="13" t="s">
        <v>48</v>
      </c>
      <c r="J59" s="13" t="s">
        <v>156</v>
      </c>
      <c r="K59" s="13"/>
    </row>
    <row r="60" spans="1:11" ht="15" customHeight="1" x14ac:dyDescent="0.3">
      <c r="A60" s="13">
        <v>59</v>
      </c>
      <c r="B60" s="13" t="s">
        <v>152</v>
      </c>
      <c r="C60" s="13" t="s">
        <v>153</v>
      </c>
      <c r="D60" s="13" t="s">
        <v>234</v>
      </c>
      <c r="E60" s="13" t="s">
        <v>113</v>
      </c>
      <c r="F60" s="13" t="s">
        <v>18</v>
      </c>
      <c r="G60" s="13">
        <v>7</v>
      </c>
      <c r="H60" s="13" t="s">
        <v>199</v>
      </c>
      <c r="I60" s="13" t="s">
        <v>48</v>
      </c>
      <c r="J60" s="13" t="s">
        <v>156</v>
      </c>
      <c r="K60" s="13"/>
    </row>
    <row r="61" spans="1:11" ht="15" customHeight="1" x14ac:dyDescent="0.3">
      <c r="A61" s="13">
        <v>60</v>
      </c>
      <c r="B61" s="13" t="s">
        <v>152</v>
      </c>
      <c r="C61" s="13" t="s">
        <v>153</v>
      </c>
      <c r="D61" s="13" t="s">
        <v>235</v>
      </c>
      <c r="E61" s="13" t="s">
        <v>113</v>
      </c>
      <c r="F61" s="13" t="s">
        <v>18</v>
      </c>
      <c r="G61" s="13">
        <v>7</v>
      </c>
      <c r="H61" s="13" t="s">
        <v>236</v>
      </c>
      <c r="I61" s="13" t="s">
        <v>48</v>
      </c>
      <c r="J61" s="13" t="s">
        <v>156</v>
      </c>
      <c r="K61" s="13"/>
    </row>
    <row r="62" spans="1:11" ht="15" customHeight="1" x14ac:dyDescent="0.3">
      <c r="A62" s="13">
        <v>61</v>
      </c>
      <c r="B62" s="13" t="s">
        <v>152</v>
      </c>
      <c r="C62" s="13" t="s">
        <v>153</v>
      </c>
      <c r="D62" s="13" t="s">
        <v>237</v>
      </c>
      <c r="E62" s="13" t="s">
        <v>75</v>
      </c>
      <c r="F62" s="13" t="s">
        <v>18</v>
      </c>
      <c r="G62" s="13">
        <v>5</v>
      </c>
      <c r="H62" s="13" t="s">
        <v>202</v>
      </c>
      <c r="I62" s="13" t="s">
        <v>48</v>
      </c>
      <c r="J62" s="13" t="s">
        <v>156</v>
      </c>
      <c r="K62" s="13"/>
    </row>
    <row r="63" spans="1:11" ht="23.25" customHeight="1" x14ac:dyDescent="0.3">
      <c r="A63" s="13">
        <v>62</v>
      </c>
      <c r="B63" s="13" t="s">
        <v>165</v>
      </c>
      <c r="C63" s="13" t="s">
        <v>162</v>
      </c>
      <c r="D63" s="13" t="s">
        <v>238</v>
      </c>
      <c r="E63" s="13" t="s">
        <v>75</v>
      </c>
      <c r="F63" s="13" t="s">
        <v>18</v>
      </c>
      <c r="G63" s="13">
        <v>5</v>
      </c>
      <c r="H63" s="13" t="s">
        <v>239</v>
      </c>
      <c r="I63" s="13" t="s">
        <v>48</v>
      </c>
      <c r="J63" s="13" t="s">
        <v>156</v>
      </c>
      <c r="K63" s="13"/>
    </row>
    <row r="64" spans="1:11" ht="15" customHeight="1" x14ac:dyDescent="0.3">
      <c r="A64" s="13">
        <v>63</v>
      </c>
      <c r="B64" s="13" t="s">
        <v>165</v>
      </c>
      <c r="C64" s="13" t="s">
        <v>153</v>
      </c>
      <c r="D64" s="13" t="s">
        <v>240</v>
      </c>
      <c r="E64" s="13" t="s">
        <v>75</v>
      </c>
      <c r="F64" s="13" t="s">
        <v>18</v>
      </c>
      <c r="G64" s="13">
        <v>5</v>
      </c>
      <c r="H64" s="13" t="s">
        <v>241</v>
      </c>
      <c r="I64" s="13" t="s">
        <v>48</v>
      </c>
      <c r="J64" s="13" t="s">
        <v>156</v>
      </c>
      <c r="K64" s="13"/>
    </row>
    <row r="65" spans="1:11" ht="23.25" customHeight="1" x14ac:dyDescent="0.3">
      <c r="A65" s="13">
        <v>64</v>
      </c>
      <c r="B65" s="13" t="s">
        <v>165</v>
      </c>
      <c r="C65" s="13" t="s">
        <v>153</v>
      </c>
      <c r="D65" s="13" t="s">
        <v>242</v>
      </c>
      <c r="E65" s="13" t="s">
        <v>75</v>
      </c>
      <c r="F65" s="13" t="s">
        <v>18</v>
      </c>
      <c r="G65" s="13">
        <v>5</v>
      </c>
      <c r="H65" s="13" t="s">
        <v>243</v>
      </c>
      <c r="I65" s="13" t="s">
        <v>48</v>
      </c>
      <c r="J65" s="13" t="s">
        <v>156</v>
      </c>
      <c r="K65" s="13"/>
    </row>
    <row r="66" spans="1:11" ht="23.25" customHeight="1" x14ac:dyDescent="0.3">
      <c r="A66" s="13">
        <v>65</v>
      </c>
      <c r="B66" s="13" t="s">
        <v>165</v>
      </c>
      <c r="C66" s="13" t="s">
        <v>153</v>
      </c>
      <c r="D66" s="13" t="s">
        <v>244</v>
      </c>
      <c r="E66" s="13" t="s">
        <v>75</v>
      </c>
      <c r="F66" s="13" t="s">
        <v>18</v>
      </c>
      <c r="G66" s="13">
        <v>5</v>
      </c>
      <c r="H66" s="13" t="s">
        <v>245</v>
      </c>
      <c r="I66" s="13" t="s">
        <v>48</v>
      </c>
      <c r="J66" s="13" t="s">
        <v>156</v>
      </c>
      <c r="K66" s="13"/>
    </row>
    <row r="67" spans="1:11" ht="23.25" customHeight="1" x14ac:dyDescent="0.3">
      <c r="A67" s="13">
        <v>66</v>
      </c>
      <c r="B67" s="13" t="s">
        <v>165</v>
      </c>
      <c r="C67" s="13" t="s">
        <v>162</v>
      </c>
      <c r="D67" s="13" t="s">
        <v>246</v>
      </c>
      <c r="E67" s="13" t="s">
        <v>75</v>
      </c>
      <c r="F67" s="13" t="s">
        <v>18</v>
      </c>
      <c r="G67" s="13">
        <v>5</v>
      </c>
      <c r="H67" s="13" t="s">
        <v>247</v>
      </c>
      <c r="I67" s="13" t="s">
        <v>48</v>
      </c>
      <c r="J67" s="13" t="s">
        <v>156</v>
      </c>
      <c r="K67" s="13"/>
    </row>
    <row r="68" spans="1:11" ht="15" customHeight="1" x14ac:dyDescent="0.3">
      <c r="A68" s="13">
        <v>67</v>
      </c>
      <c r="B68" s="13" t="s">
        <v>152</v>
      </c>
      <c r="C68" s="13" t="s">
        <v>162</v>
      </c>
      <c r="D68" s="13" t="s">
        <v>248</v>
      </c>
      <c r="E68" s="13" t="s">
        <v>75</v>
      </c>
      <c r="F68" s="13" t="s">
        <v>18</v>
      </c>
      <c r="G68" s="13">
        <v>5</v>
      </c>
      <c r="H68" s="13" t="s">
        <v>159</v>
      </c>
      <c r="I68" s="13" t="s">
        <v>48</v>
      </c>
      <c r="J68" s="13" t="s">
        <v>156</v>
      </c>
      <c r="K68" s="13"/>
    </row>
    <row r="69" spans="1:11" ht="15" customHeight="1" x14ac:dyDescent="0.3">
      <c r="A69" s="13">
        <v>68</v>
      </c>
      <c r="B69" s="13" t="s">
        <v>152</v>
      </c>
      <c r="C69" s="13" t="s">
        <v>153</v>
      </c>
      <c r="D69" s="13" t="s">
        <v>249</v>
      </c>
      <c r="E69" s="13" t="s">
        <v>75</v>
      </c>
      <c r="F69" s="13" t="s">
        <v>18</v>
      </c>
      <c r="G69" s="13">
        <v>5</v>
      </c>
      <c r="H69" s="13" t="s">
        <v>170</v>
      </c>
      <c r="I69" s="13" t="s">
        <v>48</v>
      </c>
      <c r="J69" s="13" t="s">
        <v>156</v>
      </c>
      <c r="K69" s="13"/>
    </row>
    <row r="70" spans="1:11" ht="15" customHeight="1" x14ac:dyDescent="0.3">
      <c r="A70" s="13">
        <v>69</v>
      </c>
      <c r="B70" s="13" t="s">
        <v>152</v>
      </c>
      <c r="C70" s="13" t="s">
        <v>153</v>
      </c>
      <c r="D70" s="13" t="s">
        <v>250</v>
      </c>
      <c r="E70" s="13" t="s">
        <v>100</v>
      </c>
      <c r="F70" s="13" t="s">
        <v>19</v>
      </c>
      <c r="G70" s="13">
        <v>6</v>
      </c>
      <c r="H70" s="13" t="s">
        <v>231</v>
      </c>
      <c r="I70" s="13" t="s">
        <v>48</v>
      </c>
      <c r="J70" s="13" t="s">
        <v>156</v>
      </c>
      <c r="K70" s="13"/>
    </row>
    <row r="71" spans="1:11" ht="15" customHeight="1" x14ac:dyDescent="0.3">
      <c r="A71" s="13">
        <v>70</v>
      </c>
      <c r="B71" s="13" t="s">
        <v>152</v>
      </c>
      <c r="C71" s="13" t="s">
        <v>162</v>
      </c>
      <c r="D71" s="13" t="s">
        <v>250</v>
      </c>
      <c r="E71" s="13" t="s">
        <v>100</v>
      </c>
      <c r="F71" s="13" t="s">
        <v>19</v>
      </c>
      <c r="G71" s="13">
        <v>6</v>
      </c>
      <c r="H71" s="13" t="s">
        <v>202</v>
      </c>
      <c r="I71" s="13" t="s">
        <v>48</v>
      </c>
      <c r="J71" s="13" t="s">
        <v>156</v>
      </c>
      <c r="K71" s="13"/>
    </row>
    <row r="72" spans="1:11" ht="15" customHeight="1" x14ac:dyDescent="0.3">
      <c r="A72" s="13">
        <v>71</v>
      </c>
      <c r="B72" s="13" t="s">
        <v>165</v>
      </c>
      <c r="C72" s="13" t="s">
        <v>153</v>
      </c>
      <c r="D72" s="13" t="s">
        <v>251</v>
      </c>
      <c r="E72" s="13" t="s">
        <v>100</v>
      </c>
      <c r="F72" s="13" t="s">
        <v>19</v>
      </c>
      <c r="G72" s="13">
        <v>6</v>
      </c>
      <c r="H72" s="13" t="s">
        <v>252</v>
      </c>
      <c r="I72" s="13" t="s">
        <v>48</v>
      </c>
      <c r="J72" s="13" t="s">
        <v>156</v>
      </c>
      <c r="K72" s="13"/>
    </row>
    <row r="73" spans="1:11" ht="15" customHeight="1" x14ac:dyDescent="0.3">
      <c r="A73" s="13">
        <v>72</v>
      </c>
      <c r="B73" s="13" t="s">
        <v>152</v>
      </c>
      <c r="C73" s="13" t="s">
        <v>183</v>
      </c>
      <c r="D73" s="13" t="s">
        <v>253</v>
      </c>
      <c r="E73" s="13" t="s">
        <v>100</v>
      </c>
      <c r="F73" s="13" t="s">
        <v>19</v>
      </c>
      <c r="G73" s="13">
        <v>6</v>
      </c>
      <c r="H73" s="13" t="s">
        <v>231</v>
      </c>
      <c r="I73" s="13" t="s">
        <v>48</v>
      </c>
      <c r="J73" s="13" t="s">
        <v>156</v>
      </c>
      <c r="K73" s="13"/>
    </row>
    <row r="74" spans="1:11" ht="15" customHeight="1" x14ac:dyDescent="0.3">
      <c r="A74" s="13">
        <v>73</v>
      </c>
      <c r="B74" s="13" t="s">
        <v>152</v>
      </c>
      <c r="C74" s="13" t="s">
        <v>185</v>
      </c>
      <c r="D74" s="13" t="s">
        <v>254</v>
      </c>
      <c r="E74" s="13" t="s">
        <v>100</v>
      </c>
      <c r="F74" s="13" t="s">
        <v>19</v>
      </c>
      <c r="G74" s="13">
        <v>6</v>
      </c>
      <c r="H74" s="13" t="s">
        <v>231</v>
      </c>
      <c r="I74" s="13" t="s">
        <v>48</v>
      </c>
      <c r="J74" s="13" t="s">
        <v>156</v>
      </c>
      <c r="K74" s="13"/>
    </row>
    <row r="75" spans="1:11" ht="15" customHeight="1" x14ac:dyDescent="0.3">
      <c r="A75" s="13">
        <v>74</v>
      </c>
      <c r="B75" s="13" t="s">
        <v>152</v>
      </c>
      <c r="C75" s="13" t="s">
        <v>162</v>
      </c>
      <c r="D75" s="13" t="s">
        <v>255</v>
      </c>
      <c r="E75" s="13" t="s">
        <v>103</v>
      </c>
      <c r="F75" s="13" t="s">
        <v>19</v>
      </c>
      <c r="G75" s="13">
        <v>6</v>
      </c>
      <c r="H75" s="13" t="s">
        <v>256</v>
      </c>
      <c r="I75" s="13" t="s">
        <v>48</v>
      </c>
      <c r="J75" s="13" t="s">
        <v>156</v>
      </c>
      <c r="K75" s="13"/>
    </row>
    <row r="76" spans="1:11" ht="15" customHeight="1" x14ac:dyDescent="0.3">
      <c r="A76" s="13">
        <v>75</v>
      </c>
      <c r="B76" s="13" t="s">
        <v>165</v>
      </c>
      <c r="C76" s="13" t="s">
        <v>183</v>
      </c>
      <c r="D76" s="13" t="s">
        <v>255</v>
      </c>
      <c r="E76" s="13" t="s">
        <v>103</v>
      </c>
      <c r="F76" s="13" t="s">
        <v>19</v>
      </c>
      <c r="G76" s="13">
        <v>6</v>
      </c>
      <c r="H76" s="13" t="s">
        <v>172</v>
      </c>
      <c r="I76" s="13" t="s">
        <v>48</v>
      </c>
      <c r="J76" s="13" t="s">
        <v>156</v>
      </c>
      <c r="K76" s="13"/>
    </row>
    <row r="77" spans="1:11" ht="15" customHeight="1" x14ac:dyDescent="0.3">
      <c r="A77" s="13">
        <v>76</v>
      </c>
      <c r="B77" s="13" t="s">
        <v>152</v>
      </c>
      <c r="C77" s="13" t="s">
        <v>153</v>
      </c>
      <c r="D77" s="13" t="s">
        <v>257</v>
      </c>
      <c r="E77" s="13" t="s">
        <v>103</v>
      </c>
      <c r="F77" s="13" t="s">
        <v>19</v>
      </c>
      <c r="G77" s="13">
        <v>6</v>
      </c>
      <c r="H77" s="13" t="s">
        <v>172</v>
      </c>
      <c r="I77" s="13" t="s">
        <v>48</v>
      </c>
      <c r="J77" s="13" t="s">
        <v>156</v>
      </c>
      <c r="K77" s="13"/>
    </row>
    <row r="78" spans="1:11" ht="15" customHeight="1" x14ac:dyDescent="0.3">
      <c r="A78" s="13">
        <v>77</v>
      </c>
      <c r="B78" s="13" t="s">
        <v>152</v>
      </c>
      <c r="C78" s="13" t="s">
        <v>162</v>
      </c>
      <c r="D78" s="13" t="s">
        <v>258</v>
      </c>
      <c r="E78" s="13" t="s">
        <v>103</v>
      </c>
      <c r="F78" s="13" t="s">
        <v>19</v>
      </c>
      <c r="G78" s="13">
        <v>6</v>
      </c>
      <c r="H78" s="13" t="s">
        <v>256</v>
      </c>
      <c r="I78" s="13" t="s">
        <v>48</v>
      </c>
      <c r="J78" s="13" t="s">
        <v>156</v>
      </c>
      <c r="K78" s="13"/>
    </row>
    <row r="79" spans="1:11" ht="15" customHeight="1" x14ac:dyDescent="0.3">
      <c r="A79" s="13">
        <v>78</v>
      </c>
      <c r="B79" s="13" t="s">
        <v>152</v>
      </c>
      <c r="C79" s="13" t="s">
        <v>153</v>
      </c>
      <c r="D79" s="13" t="s">
        <v>259</v>
      </c>
      <c r="E79" s="13" t="s">
        <v>103</v>
      </c>
      <c r="F79" s="13" t="s">
        <v>19</v>
      </c>
      <c r="G79" s="13">
        <v>6</v>
      </c>
      <c r="H79" s="13" t="s">
        <v>260</v>
      </c>
      <c r="I79" s="13" t="s">
        <v>48</v>
      </c>
      <c r="J79" s="13" t="s">
        <v>156</v>
      </c>
      <c r="K79" s="13"/>
    </row>
    <row r="80" spans="1:11" ht="15" customHeight="1" x14ac:dyDescent="0.3">
      <c r="A80" s="13">
        <v>79</v>
      </c>
      <c r="B80" s="13" t="s">
        <v>152</v>
      </c>
      <c r="C80" s="13" t="s">
        <v>153</v>
      </c>
      <c r="D80" s="13" t="s">
        <v>261</v>
      </c>
      <c r="E80" s="13" t="s">
        <v>97</v>
      </c>
      <c r="F80" s="13" t="s">
        <v>18</v>
      </c>
      <c r="G80" s="13">
        <v>6</v>
      </c>
      <c r="H80" s="13" t="s">
        <v>202</v>
      </c>
      <c r="I80" s="13" t="s">
        <v>48</v>
      </c>
      <c r="J80" s="13" t="s">
        <v>156</v>
      </c>
      <c r="K80" s="13"/>
    </row>
    <row r="81" spans="1:11" ht="15" customHeight="1" x14ac:dyDescent="0.3">
      <c r="A81" s="13">
        <v>80</v>
      </c>
      <c r="B81" s="13" t="s">
        <v>152</v>
      </c>
      <c r="C81" s="13" t="s">
        <v>153</v>
      </c>
      <c r="D81" s="13" t="s">
        <v>262</v>
      </c>
      <c r="E81" s="13" t="s">
        <v>97</v>
      </c>
      <c r="F81" s="13" t="s">
        <v>18</v>
      </c>
      <c r="G81" s="13">
        <v>6</v>
      </c>
      <c r="H81" s="13" t="s">
        <v>231</v>
      </c>
      <c r="I81" s="13" t="s">
        <v>48</v>
      </c>
      <c r="J81" s="13" t="s">
        <v>156</v>
      </c>
      <c r="K81" s="13"/>
    </row>
    <row r="82" spans="1:11" ht="15" customHeight="1" x14ac:dyDescent="0.3">
      <c r="A82" s="13">
        <v>81</v>
      </c>
      <c r="B82" s="13" t="s">
        <v>165</v>
      </c>
      <c r="C82" s="13" t="s">
        <v>162</v>
      </c>
      <c r="D82" s="13" t="s">
        <v>262</v>
      </c>
      <c r="E82" s="13" t="s">
        <v>97</v>
      </c>
      <c r="F82" s="13" t="s">
        <v>18</v>
      </c>
      <c r="G82" s="13">
        <v>6</v>
      </c>
      <c r="H82" s="13" t="s">
        <v>263</v>
      </c>
      <c r="I82" s="13" t="s">
        <v>48</v>
      </c>
      <c r="J82" s="13" t="s">
        <v>156</v>
      </c>
      <c r="K82" s="13"/>
    </row>
    <row r="83" spans="1:11" ht="15" customHeight="1" x14ac:dyDescent="0.3">
      <c r="A83" s="13">
        <v>82</v>
      </c>
      <c r="B83" s="13" t="s">
        <v>165</v>
      </c>
      <c r="C83" s="13" t="s">
        <v>183</v>
      </c>
      <c r="D83" s="13" t="s">
        <v>264</v>
      </c>
      <c r="E83" s="13" t="s">
        <v>97</v>
      </c>
      <c r="F83" s="13" t="s">
        <v>18</v>
      </c>
      <c r="G83" s="13">
        <v>6</v>
      </c>
      <c r="H83" s="13" t="s">
        <v>263</v>
      </c>
      <c r="I83" s="13" t="s">
        <v>48</v>
      </c>
      <c r="J83" s="13" t="s">
        <v>156</v>
      </c>
      <c r="K83" s="13"/>
    </row>
    <row r="84" spans="1:11" ht="15" customHeight="1" x14ac:dyDescent="0.3">
      <c r="A84" s="13">
        <v>83</v>
      </c>
      <c r="B84" s="13" t="s">
        <v>165</v>
      </c>
      <c r="C84" s="13" t="s">
        <v>162</v>
      </c>
      <c r="D84" s="13" t="s">
        <v>265</v>
      </c>
      <c r="E84" s="13" t="s">
        <v>97</v>
      </c>
      <c r="F84" s="13" t="s">
        <v>18</v>
      </c>
      <c r="G84" s="13">
        <v>6</v>
      </c>
      <c r="H84" s="13" t="s">
        <v>263</v>
      </c>
      <c r="I84" s="13" t="s">
        <v>48</v>
      </c>
      <c r="J84" s="13" t="s">
        <v>156</v>
      </c>
      <c r="K84" s="13"/>
    </row>
    <row r="85" spans="1:11" ht="15" customHeight="1" x14ac:dyDescent="0.3">
      <c r="A85" s="13">
        <v>84</v>
      </c>
      <c r="B85" s="13" t="s">
        <v>152</v>
      </c>
      <c r="C85" s="13" t="s">
        <v>162</v>
      </c>
      <c r="D85" s="13" t="s">
        <v>266</v>
      </c>
      <c r="E85" s="13" t="s">
        <v>97</v>
      </c>
      <c r="F85" s="13" t="s">
        <v>18</v>
      </c>
      <c r="G85" s="13">
        <v>6</v>
      </c>
      <c r="H85" s="13" t="s">
        <v>267</v>
      </c>
      <c r="I85" s="13" t="s">
        <v>48</v>
      </c>
      <c r="J85" s="13" t="s">
        <v>156</v>
      </c>
      <c r="K85" s="13"/>
    </row>
    <row r="86" spans="1:11" ht="15" customHeight="1" x14ac:dyDescent="0.3">
      <c r="A86" s="13">
        <v>85</v>
      </c>
      <c r="B86" s="13" t="s">
        <v>152</v>
      </c>
      <c r="C86" s="13" t="s">
        <v>162</v>
      </c>
      <c r="D86" s="13" t="s">
        <v>268</v>
      </c>
      <c r="E86" s="13" t="s">
        <v>106</v>
      </c>
      <c r="F86" s="13" t="s">
        <v>19</v>
      </c>
      <c r="G86" s="13">
        <v>6</v>
      </c>
      <c r="H86" s="13" t="s">
        <v>202</v>
      </c>
      <c r="I86" s="13" t="s">
        <v>48</v>
      </c>
      <c r="J86" s="13" t="s">
        <v>156</v>
      </c>
      <c r="K86" s="13"/>
    </row>
    <row r="87" spans="1:11" ht="15" customHeight="1" x14ac:dyDescent="0.3">
      <c r="A87" s="13">
        <v>86</v>
      </c>
      <c r="B87" s="13" t="s">
        <v>152</v>
      </c>
      <c r="C87" s="13" t="s">
        <v>162</v>
      </c>
      <c r="D87" s="13" t="s">
        <v>269</v>
      </c>
      <c r="E87" s="13" t="s">
        <v>106</v>
      </c>
      <c r="F87" s="13" t="s">
        <v>19</v>
      </c>
      <c r="G87" s="13">
        <v>6</v>
      </c>
      <c r="H87" s="13" t="s">
        <v>231</v>
      </c>
      <c r="I87" s="13" t="s">
        <v>48</v>
      </c>
      <c r="J87" s="13" t="s">
        <v>156</v>
      </c>
      <c r="K87" s="13"/>
    </row>
    <row r="88" spans="1:11" ht="15" customHeight="1" x14ac:dyDescent="0.3">
      <c r="A88" s="13">
        <v>87</v>
      </c>
      <c r="B88" s="13" t="s">
        <v>152</v>
      </c>
      <c r="C88" s="13" t="s">
        <v>162</v>
      </c>
      <c r="D88" s="13" t="s">
        <v>270</v>
      </c>
      <c r="E88" s="13" t="s">
        <v>106</v>
      </c>
      <c r="F88" s="13" t="s">
        <v>19</v>
      </c>
      <c r="G88" s="13">
        <v>6</v>
      </c>
      <c r="H88" s="13" t="s">
        <v>170</v>
      </c>
      <c r="I88" s="13" t="s">
        <v>48</v>
      </c>
      <c r="J88" s="13" t="s">
        <v>156</v>
      </c>
      <c r="K88" s="13"/>
    </row>
    <row r="89" spans="1:11" ht="15" customHeight="1" x14ac:dyDescent="0.3">
      <c r="A89" s="13">
        <v>88</v>
      </c>
      <c r="B89" s="13" t="s">
        <v>152</v>
      </c>
      <c r="C89" s="13" t="s">
        <v>153</v>
      </c>
      <c r="D89" s="13" t="s">
        <v>271</v>
      </c>
      <c r="E89" s="13" t="s">
        <v>52</v>
      </c>
      <c r="F89" s="13" t="s">
        <v>18</v>
      </c>
      <c r="G89" s="13">
        <v>8</v>
      </c>
      <c r="H89" s="13" t="s">
        <v>272</v>
      </c>
      <c r="I89" s="13" t="s">
        <v>48</v>
      </c>
      <c r="J89" s="13" t="s">
        <v>156</v>
      </c>
      <c r="K89" s="13"/>
    </row>
    <row r="90" spans="1:11" ht="15" customHeight="1" x14ac:dyDescent="0.3">
      <c r="A90" s="13">
        <v>89</v>
      </c>
      <c r="B90" s="13" t="s">
        <v>165</v>
      </c>
      <c r="C90" s="13" t="s">
        <v>162</v>
      </c>
      <c r="D90" s="13" t="s">
        <v>271</v>
      </c>
      <c r="E90" s="13" t="s">
        <v>52</v>
      </c>
      <c r="F90" s="13" t="s">
        <v>18</v>
      </c>
      <c r="G90" s="13">
        <v>8</v>
      </c>
      <c r="H90" s="13" t="s">
        <v>272</v>
      </c>
      <c r="I90" s="13" t="s">
        <v>48</v>
      </c>
      <c r="J90" s="13" t="s">
        <v>156</v>
      </c>
      <c r="K90" s="13"/>
    </row>
    <row r="91" spans="1:11" ht="15" customHeight="1" x14ac:dyDescent="0.3">
      <c r="A91" s="13">
        <v>90</v>
      </c>
      <c r="B91" s="13" t="s">
        <v>152</v>
      </c>
      <c r="C91" s="13" t="s">
        <v>183</v>
      </c>
      <c r="D91" s="13" t="s">
        <v>273</v>
      </c>
      <c r="E91" s="13" t="s">
        <v>52</v>
      </c>
      <c r="F91" s="13" t="s">
        <v>18</v>
      </c>
      <c r="G91" s="13">
        <v>8</v>
      </c>
      <c r="H91" s="13" t="s">
        <v>272</v>
      </c>
      <c r="I91" s="13" t="s">
        <v>48</v>
      </c>
      <c r="J91" s="13" t="s">
        <v>156</v>
      </c>
      <c r="K91" s="13"/>
    </row>
    <row r="92" spans="1:11" ht="23.25" customHeight="1" x14ac:dyDescent="0.3">
      <c r="A92" s="13">
        <v>91</v>
      </c>
      <c r="B92" s="13" t="s">
        <v>165</v>
      </c>
      <c r="C92" s="13" t="s">
        <v>274</v>
      </c>
      <c r="D92" s="13" t="s">
        <v>275</v>
      </c>
      <c r="E92" s="13" t="s">
        <v>52</v>
      </c>
      <c r="F92" s="13" t="s">
        <v>18</v>
      </c>
      <c r="G92" s="13">
        <v>8</v>
      </c>
      <c r="H92" s="13" t="s">
        <v>272</v>
      </c>
      <c r="I92" s="13" t="s">
        <v>48</v>
      </c>
      <c r="J92" s="13" t="s">
        <v>156</v>
      </c>
      <c r="K92" s="13"/>
    </row>
    <row r="93" spans="1:11" ht="15" customHeight="1" x14ac:dyDescent="0.3">
      <c r="A93" s="13">
        <v>92</v>
      </c>
      <c r="B93" s="13" t="s">
        <v>165</v>
      </c>
      <c r="C93" s="13" t="s">
        <v>162</v>
      </c>
      <c r="D93" s="13" t="s">
        <v>276</v>
      </c>
      <c r="E93" s="13" t="s">
        <v>52</v>
      </c>
      <c r="F93" s="13" t="s">
        <v>18</v>
      </c>
      <c r="G93" s="13">
        <v>8</v>
      </c>
      <c r="H93" s="13" t="s">
        <v>272</v>
      </c>
      <c r="I93" s="13" t="s">
        <v>48</v>
      </c>
      <c r="J93" s="13" t="s">
        <v>156</v>
      </c>
      <c r="K93" s="13"/>
    </row>
    <row r="94" spans="1:11" ht="15" customHeight="1" x14ac:dyDescent="0.3">
      <c r="A94" s="13">
        <v>93</v>
      </c>
      <c r="B94" s="13" t="s">
        <v>165</v>
      </c>
      <c r="C94" s="13" t="s">
        <v>162</v>
      </c>
      <c r="D94" s="13" t="s">
        <v>277</v>
      </c>
      <c r="E94" s="13" t="s">
        <v>52</v>
      </c>
      <c r="F94" s="13" t="s">
        <v>18</v>
      </c>
      <c r="G94" s="13">
        <v>8</v>
      </c>
      <c r="H94" s="13" t="s">
        <v>272</v>
      </c>
      <c r="I94" s="13" t="s">
        <v>48</v>
      </c>
      <c r="J94" s="13" t="s">
        <v>156</v>
      </c>
      <c r="K94" s="13"/>
    </row>
    <row r="95" spans="1:11" ht="15" customHeight="1" x14ac:dyDescent="0.3">
      <c r="A95" s="13">
        <v>94</v>
      </c>
      <c r="B95" s="13" t="s">
        <v>165</v>
      </c>
      <c r="C95" s="13" t="s">
        <v>162</v>
      </c>
      <c r="D95" s="13" t="s">
        <v>278</v>
      </c>
      <c r="E95" s="13" t="s">
        <v>52</v>
      </c>
      <c r="F95" s="13" t="s">
        <v>18</v>
      </c>
      <c r="G95" s="13">
        <v>8</v>
      </c>
      <c r="H95" s="13" t="s">
        <v>272</v>
      </c>
      <c r="I95" s="13" t="s">
        <v>48</v>
      </c>
      <c r="J95" s="13" t="s">
        <v>156</v>
      </c>
      <c r="K95" s="13"/>
    </row>
    <row r="96" spans="1:11" ht="15" customHeight="1" x14ac:dyDescent="0.3">
      <c r="A96" s="13">
        <v>95</v>
      </c>
      <c r="B96" s="13" t="s">
        <v>152</v>
      </c>
      <c r="C96" s="13" t="s">
        <v>162</v>
      </c>
      <c r="D96" s="13" t="s">
        <v>279</v>
      </c>
      <c r="E96" s="13" t="s">
        <v>52</v>
      </c>
      <c r="F96" s="13" t="s">
        <v>18</v>
      </c>
      <c r="G96" s="13">
        <v>8</v>
      </c>
      <c r="H96" s="13" t="s">
        <v>280</v>
      </c>
      <c r="I96" s="13" t="s">
        <v>48</v>
      </c>
      <c r="J96" s="13" t="s">
        <v>156</v>
      </c>
      <c r="K96" s="13"/>
    </row>
    <row r="97" spans="1:11" ht="15" customHeight="1" x14ac:dyDescent="0.3">
      <c r="A97" s="13">
        <v>96</v>
      </c>
      <c r="B97" s="13" t="s">
        <v>152</v>
      </c>
      <c r="C97" s="13" t="s">
        <v>162</v>
      </c>
      <c r="D97" s="13" t="s">
        <v>281</v>
      </c>
      <c r="E97" s="13" t="s">
        <v>52</v>
      </c>
      <c r="F97" s="13" t="s">
        <v>18</v>
      </c>
      <c r="G97" s="13">
        <v>8</v>
      </c>
      <c r="H97" s="13" t="s">
        <v>282</v>
      </c>
      <c r="I97" s="13" t="s">
        <v>48</v>
      </c>
      <c r="J97" s="13" t="s">
        <v>156</v>
      </c>
      <c r="K97" s="13"/>
    </row>
    <row r="98" spans="1:11" ht="15" customHeight="1" x14ac:dyDescent="0.3">
      <c r="A98" s="13">
        <v>97</v>
      </c>
      <c r="B98" s="13" t="s">
        <v>152</v>
      </c>
      <c r="C98" s="13" t="s">
        <v>162</v>
      </c>
      <c r="D98" s="13" t="s">
        <v>283</v>
      </c>
      <c r="E98" s="13" t="s">
        <v>52</v>
      </c>
      <c r="F98" s="13" t="s">
        <v>18</v>
      </c>
      <c r="G98" s="13">
        <v>9</v>
      </c>
      <c r="H98" s="13" t="s">
        <v>155</v>
      </c>
      <c r="I98" s="13" t="s">
        <v>48</v>
      </c>
      <c r="J98" s="13" t="s">
        <v>156</v>
      </c>
      <c r="K98" s="13"/>
    </row>
    <row r="99" spans="1:11" ht="15" customHeight="1" x14ac:dyDescent="0.3">
      <c r="A99" s="13">
        <v>98</v>
      </c>
      <c r="B99" s="13" t="s">
        <v>152</v>
      </c>
      <c r="C99" s="13" t="s">
        <v>162</v>
      </c>
      <c r="D99" s="13" t="s">
        <v>284</v>
      </c>
      <c r="E99" s="13" t="s">
        <v>52</v>
      </c>
      <c r="F99" s="13" t="s">
        <v>18</v>
      </c>
      <c r="G99" s="13">
        <v>9</v>
      </c>
      <c r="H99" s="13" t="s">
        <v>155</v>
      </c>
      <c r="I99" s="13" t="s">
        <v>48</v>
      </c>
      <c r="J99" s="13" t="s">
        <v>156</v>
      </c>
      <c r="K99" s="13"/>
    </row>
    <row r="100" spans="1:11" ht="15" customHeight="1" x14ac:dyDescent="0.3">
      <c r="A100" s="13">
        <v>99</v>
      </c>
      <c r="B100" s="13" t="s">
        <v>152</v>
      </c>
      <c r="C100" s="13" t="s">
        <v>162</v>
      </c>
      <c r="D100" s="13" t="s">
        <v>285</v>
      </c>
      <c r="E100" s="13" t="s">
        <v>52</v>
      </c>
      <c r="F100" s="13" t="s">
        <v>18</v>
      </c>
      <c r="G100" s="13">
        <v>9</v>
      </c>
      <c r="H100" s="13" t="s">
        <v>155</v>
      </c>
      <c r="I100" s="13" t="s">
        <v>48</v>
      </c>
      <c r="J100" s="13" t="s">
        <v>156</v>
      </c>
      <c r="K100" s="13"/>
    </row>
  </sheetData>
  <dataValidations count="2">
    <dataValidation type="list" allowBlank="1" sqref="I2:I100" xr:uid="{00000000-0002-0000-0200-000000000000}">
      <formula1>"Not Started,In Progress,Done,Blocked"</formula1>
      <formula2>0</formula2>
    </dataValidation>
    <dataValidation type="list" allowBlank="1" sqref="J2:J100" xr:uid="{00000000-0002-0000-02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Normal="100" workbookViewId="0">
      <pane ySplit="1" topLeftCell="A2" activePane="bottomLeft" state="frozen"/>
      <selection pane="bottomLeft" activeCell="F13" sqref="F13"/>
    </sheetView>
  </sheetViews>
  <sheetFormatPr defaultColWidth="8.6640625" defaultRowHeight="14.4" x14ac:dyDescent="0.3"/>
  <cols>
    <col min="1" max="1" width="3" bestFit="1" customWidth="1"/>
    <col min="2" max="2" width="29.88671875" bestFit="1" customWidth="1"/>
    <col min="3" max="3" width="6.77734375" bestFit="1" customWidth="1"/>
    <col min="4" max="4" width="69.21875" bestFit="1" customWidth="1"/>
    <col min="5" max="5" width="18" bestFit="1" customWidth="1"/>
    <col min="6" max="6" width="12" bestFit="1" customWidth="1"/>
    <col min="7" max="7" width="20.21875" bestFit="1" customWidth="1"/>
    <col min="8" max="8" width="10" bestFit="1" customWidth="1"/>
    <col min="9" max="9" width="6.109375" bestFit="1" customWidth="1"/>
  </cols>
  <sheetData>
    <row r="1" spans="1:9" ht="23.25" customHeight="1" x14ac:dyDescent="0.3">
      <c r="A1" s="12" t="s">
        <v>145</v>
      </c>
      <c r="B1" s="12" t="s">
        <v>286</v>
      </c>
      <c r="C1" s="12" t="s">
        <v>37</v>
      </c>
      <c r="D1" s="12" t="s">
        <v>287</v>
      </c>
      <c r="E1" s="12" t="s">
        <v>288</v>
      </c>
      <c r="F1" s="12" t="s">
        <v>289</v>
      </c>
      <c r="G1" s="12" t="s">
        <v>290</v>
      </c>
      <c r="H1" s="12" t="s">
        <v>42</v>
      </c>
      <c r="I1" s="12" t="s">
        <v>43</v>
      </c>
    </row>
    <row r="2" spans="1:9" ht="15" customHeight="1" x14ac:dyDescent="0.3">
      <c r="A2" s="13">
        <v>1</v>
      </c>
      <c r="B2" s="13" t="s">
        <v>291</v>
      </c>
      <c r="C2" s="13" t="s">
        <v>20</v>
      </c>
      <c r="D2" s="13" t="s">
        <v>292</v>
      </c>
      <c r="E2" s="13" t="s">
        <v>293</v>
      </c>
      <c r="F2" s="13" t="s">
        <v>156</v>
      </c>
      <c r="G2" s="13" t="s">
        <v>294</v>
      </c>
      <c r="H2" s="13" t="s">
        <v>48</v>
      </c>
      <c r="I2" s="13"/>
    </row>
    <row r="3" spans="1:9" ht="15" customHeight="1" x14ac:dyDescent="0.3">
      <c r="A3" s="13">
        <v>2</v>
      </c>
      <c r="B3" s="13" t="s">
        <v>295</v>
      </c>
      <c r="C3" s="13" t="s">
        <v>20</v>
      </c>
      <c r="D3" s="13" t="s">
        <v>296</v>
      </c>
      <c r="E3" s="13" t="s">
        <v>293</v>
      </c>
      <c r="F3" s="13" t="s">
        <v>156</v>
      </c>
      <c r="G3" s="13" t="s">
        <v>294</v>
      </c>
      <c r="H3" s="13" t="s">
        <v>48</v>
      </c>
      <c r="I3" s="13"/>
    </row>
    <row r="4" spans="1:9" ht="15" customHeight="1" x14ac:dyDescent="0.3">
      <c r="A4" s="13">
        <v>3</v>
      </c>
      <c r="B4" s="13" t="s">
        <v>297</v>
      </c>
      <c r="C4" s="13" t="s">
        <v>20</v>
      </c>
      <c r="D4" s="13" t="s">
        <v>298</v>
      </c>
      <c r="E4" s="13" t="s">
        <v>299</v>
      </c>
      <c r="F4" s="13" t="s">
        <v>156</v>
      </c>
      <c r="G4" s="13" t="s">
        <v>294</v>
      </c>
      <c r="H4" s="13" t="s">
        <v>48</v>
      </c>
      <c r="I4" s="13"/>
    </row>
    <row r="5" spans="1:9" ht="23.25" customHeight="1" x14ac:dyDescent="0.3">
      <c r="A5" s="13">
        <v>4</v>
      </c>
      <c r="B5" s="13" t="s">
        <v>300</v>
      </c>
      <c r="C5" s="13" t="s">
        <v>20</v>
      </c>
      <c r="D5" s="13" t="s">
        <v>301</v>
      </c>
      <c r="E5" s="13" t="s">
        <v>293</v>
      </c>
      <c r="F5" s="13" t="s">
        <v>156</v>
      </c>
      <c r="G5" s="13" t="s">
        <v>294</v>
      </c>
      <c r="H5" s="13" t="s">
        <v>48</v>
      </c>
      <c r="I5" s="13"/>
    </row>
    <row r="6" spans="1:9" ht="15" customHeight="1" x14ac:dyDescent="0.3">
      <c r="A6" s="13">
        <v>5</v>
      </c>
      <c r="B6" s="13" t="s">
        <v>302</v>
      </c>
      <c r="C6" s="13" t="s">
        <v>20</v>
      </c>
      <c r="D6" s="13" t="s">
        <v>303</v>
      </c>
      <c r="E6" s="13" t="s">
        <v>293</v>
      </c>
      <c r="F6" s="13" t="s">
        <v>156</v>
      </c>
      <c r="G6" s="13" t="s">
        <v>294</v>
      </c>
      <c r="H6" s="13" t="s">
        <v>48</v>
      </c>
      <c r="I6" s="13"/>
    </row>
    <row r="7" spans="1:9" ht="23.25" customHeight="1" x14ac:dyDescent="0.3">
      <c r="A7" s="13">
        <v>6</v>
      </c>
      <c r="B7" s="13" t="s">
        <v>304</v>
      </c>
      <c r="C7" s="13" t="s">
        <v>20</v>
      </c>
      <c r="D7" s="13" t="s">
        <v>305</v>
      </c>
      <c r="E7" s="13" t="s">
        <v>293</v>
      </c>
      <c r="F7" s="13" t="s">
        <v>156</v>
      </c>
      <c r="G7" s="13" t="s">
        <v>294</v>
      </c>
      <c r="H7" s="13" t="s">
        <v>48</v>
      </c>
      <c r="I7" s="13"/>
    </row>
    <row r="8" spans="1:9" ht="23.25" customHeight="1" x14ac:dyDescent="0.3">
      <c r="A8" s="13">
        <v>7</v>
      </c>
      <c r="B8" s="13" t="s">
        <v>306</v>
      </c>
      <c r="C8" s="13" t="s">
        <v>20</v>
      </c>
      <c r="D8" s="13" t="s">
        <v>307</v>
      </c>
      <c r="E8" s="13" t="s">
        <v>293</v>
      </c>
      <c r="F8" s="13" t="s">
        <v>156</v>
      </c>
      <c r="G8" s="13" t="s">
        <v>294</v>
      </c>
      <c r="H8" s="13" t="s">
        <v>48</v>
      </c>
      <c r="I8" s="13"/>
    </row>
    <row r="9" spans="1:9" ht="15" customHeight="1" x14ac:dyDescent="0.3">
      <c r="A9" s="13">
        <v>8</v>
      </c>
      <c r="B9" s="13" t="s">
        <v>308</v>
      </c>
      <c r="C9" s="13" t="s">
        <v>20</v>
      </c>
      <c r="D9" s="13" t="s">
        <v>309</v>
      </c>
      <c r="E9" s="13" t="s">
        <v>299</v>
      </c>
      <c r="F9" s="13" t="s">
        <v>156</v>
      </c>
      <c r="G9" s="13" t="s">
        <v>294</v>
      </c>
      <c r="H9" s="13" t="s">
        <v>48</v>
      </c>
      <c r="I9" s="13"/>
    </row>
    <row r="10" spans="1:9" ht="15" customHeight="1" x14ac:dyDescent="0.3">
      <c r="A10" s="13">
        <v>9</v>
      </c>
      <c r="B10" s="13" t="s">
        <v>310</v>
      </c>
      <c r="C10" s="13" t="s">
        <v>21</v>
      </c>
      <c r="D10" s="13" t="s">
        <v>311</v>
      </c>
      <c r="E10" s="13" t="s">
        <v>293</v>
      </c>
      <c r="F10" s="13" t="s">
        <v>156</v>
      </c>
      <c r="G10" s="13" t="s">
        <v>294</v>
      </c>
      <c r="H10" s="13" t="s">
        <v>48</v>
      </c>
      <c r="I10" s="13"/>
    </row>
    <row r="11" spans="1:9" ht="15" customHeight="1" x14ac:dyDescent="0.3">
      <c r="A11" s="13">
        <v>10</v>
      </c>
      <c r="B11" s="13" t="s">
        <v>312</v>
      </c>
      <c r="C11" s="13" t="s">
        <v>21</v>
      </c>
      <c r="D11" s="13" t="s">
        <v>313</v>
      </c>
      <c r="E11" s="13" t="s">
        <v>299</v>
      </c>
      <c r="F11" s="13" t="s">
        <v>156</v>
      </c>
      <c r="G11" s="13" t="s">
        <v>294</v>
      </c>
      <c r="H11" s="13" t="s">
        <v>48</v>
      </c>
      <c r="I11" s="13"/>
    </row>
    <row r="12" spans="1:9" ht="15" customHeight="1" x14ac:dyDescent="0.3">
      <c r="A12" s="13">
        <v>11</v>
      </c>
      <c r="B12" s="13" t="s">
        <v>314</v>
      </c>
      <c r="C12" s="13" t="s">
        <v>21</v>
      </c>
      <c r="D12" s="13" t="s">
        <v>315</v>
      </c>
      <c r="E12" s="13" t="s">
        <v>299</v>
      </c>
      <c r="F12" s="13" t="s">
        <v>156</v>
      </c>
      <c r="G12" s="13" t="s">
        <v>294</v>
      </c>
      <c r="H12" s="13" t="s">
        <v>48</v>
      </c>
      <c r="I12" s="13"/>
    </row>
    <row r="13" spans="1:9" ht="23.25" customHeight="1" x14ac:dyDescent="0.3">
      <c r="A13" s="13">
        <v>12</v>
      </c>
      <c r="B13" s="13" t="s">
        <v>316</v>
      </c>
      <c r="C13" s="13" t="s">
        <v>21</v>
      </c>
      <c r="D13" s="13" t="s">
        <v>317</v>
      </c>
      <c r="E13" s="13" t="s">
        <v>293</v>
      </c>
      <c r="F13" s="13" t="s">
        <v>156</v>
      </c>
      <c r="G13" s="13" t="s">
        <v>294</v>
      </c>
      <c r="H13" s="13" t="s">
        <v>48</v>
      </c>
      <c r="I13" s="13"/>
    </row>
    <row r="14" spans="1:9" ht="15" customHeight="1" x14ac:dyDescent="0.3">
      <c r="A14" s="13">
        <v>13</v>
      </c>
      <c r="B14" s="13" t="s">
        <v>318</v>
      </c>
      <c r="C14" s="13" t="s">
        <v>21</v>
      </c>
      <c r="D14" s="13" t="s">
        <v>319</v>
      </c>
      <c r="E14" s="13" t="s">
        <v>293</v>
      </c>
      <c r="F14" s="13" t="s">
        <v>156</v>
      </c>
      <c r="G14" s="13" t="s">
        <v>294</v>
      </c>
      <c r="H14" s="13" t="s">
        <v>48</v>
      </c>
      <c r="I14" s="13"/>
    </row>
    <row r="15" spans="1:9" ht="15" customHeight="1" x14ac:dyDescent="0.3">
      <c r="A15" s="13">
        <v>14</v>
      </c>
      <c r="B15" s="13" t="s">
        <v>320</v>
      </c>
      <c r="C15" s="13" t="s">
        <v>21</v>
      </c>
      <c r="D15" s="13" t="s">
        <v>321</v>
      </c>
      <c r="E15" s="13" t="s">
        <v>293</v>
      </c>
      <c r="F15" s="13" t="s">
        <v>156</v>
      </c>
      <c r="G15" s="13" t="s">
        <v>294</v>
      </c>
      <c r="H15" s="13" t="s">
        <v>48</v>
      </c>
      <c r="I15" s="13"/>
    </row>
    <row r="16" spans="1:9" ht="23.25" customHeight="1" x14ac:dyDescent="0.3">
      <c r="A16" s="13">
        <v>15</v>
      </c>
      <c r="B16" s="13" t="s">
        <v>322</v>
      </c>
      <c r="C16" s="13" t="s">
        <v>21</v>
      </c>
      <c r="D16" s="13" t="s">
        <v>323</v>
      </c>
      <c r="E16" s="13" t="s">
        <v>299</v>
      </c>
      <c r="F16" s="13" t="s">
        <v>156</v>
      </c>
      <c r="G16" s="13" t="s">
        <v>294</v>
      </c>
      <c r="H16" s="13" t="s">
        <v>48</v>
      </c>
      <c r="I16" s="13"/>
    </row>
    <row r="17" spans="1:9" ht="15" customHeight="1" x14ac:dyDescent="0.3">
      <c r="A17" s="13">
        <v>16</v>
      </c>
      <c r="B17" s="13" t="s">
        <v>324</v>
      </c>
      <c r="C17" s="13" t="s">
        <v>21</v>
      </c>
      <c r="D17" s="13" t="s">
        <v>325</v>
      </c>
      <c r="E17" s="13" t="s">
        <v>156</v>
      </c>
      <c r="F17" s="13" t="s">
        <v>156</v>
      </c>
      <c r="G17" s="13" t="s">
        <v>294</v>
      </c>
      <c r="H17" s="13" t="s">
        <v>48</v>
      </c>
      <c r="I17" s="13"/>
    </row>
  </sheetData>
  <dataValidations count="2">
    <dataValidation type="list" allowBlank="1" sqref="H2:H17" xr:uid="{00000000-0002-0000-0300-000000000000}">
      <formula1>"Not Started,In Progress,Done,Blocked"</formula1>
      <formula2>0</formula2>
    </dataValidation>
    <dataValidation type="list" allowBlank="1" sqref="E2:F17" xr:uid="{00000000-0002-0000-0300-000001000000}">
      <formula1>"Yes,No,Partial"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2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defaultColWidth="8.6640625" defaultRowHeight="14.4" x14ac:dyDescent="0.3"/>
  <cols>
    <col min="1" max="1" width="10.5546875" bestFit="1" customWidth="1"/>
    <col min="2" max="2" width="12.33203125" bestFit="1" customWidth="1"/>
    <col min="3" max="3" width="6.77734375" bestFit="1" customWidth="1"/>
    <col min="4" max="4" width="76.44140625" bestFit="1" customWidth="1"/>
    <col min="5" max="5" width="7.44140625" bestFit="1" customWidth="1"/>
    <col min="6" max="6" width="7.33203125" bestFit="1" customWidth="1"/>
    <col min="7" max="7" width="12" bestFit="1" customWidth="1"/>
    <col min="8" max="8" width="10" bestFit="1" customWidth="1"/>
    <col min="9" max="9" width="6.109375" bestFit="1" customWidth="1"/>
  </cols>
  <sheetData>
    <row r="1" spans="1:9" ht="15" customHeight="1" x14ac:dyDescent="0.3">
      <c r="A1" s="12" t="s">
        <v>326</v>
      </c>
      <c r="B1" s="12" t="s">
        <v>327</v>
      </c>
      <c r="C1" s="12" t="s">
        <v>37</v>
      </c>
      <c r="D1" s="12" t="s">
        <v>287</v>
      </c>
      <c r="E1" s="12" t="s">
        <v>328</v>
      </c>
      <c r="F1" s="12" t="s">
        <v>329</v>
      </c>
      <c r="G1" s="12" t="s">
        <v>289</v>
      </c>
      <c r="H1" s="12" t="s">
        <v>42</v>
      </c>
      <c r="I1" s="12" t="s">
        <v>43</v>
      </c>
    </row>
    <row r="2" spans="1:9" ht="15" customHeight="1" x14ac:dyDescent="0.3">
      <c r="A2" s="13" t="s">
        <v>330</v>
      </c>
      <c r="B2" s="13" t="s">
        <v>331</v>
      </c>
      <c r="C2" s="13" t="s">
        <v>22</v>
      </c>
      <c r="D2" s="13" t="s">
        <v>332</v>
      </c>
      <c r="E2" s="13" t="s">
        <v>333</v>
      </c>
      <c r="F2" s="13" t="s">
        <v>293</v>
      </c>
      <c r="G2" s="13" t="s">
        <v>156</v>
      </c>
      <c r="H2" s="13" t="s">
        <v>48</v>
      </c>
      <c r="I2" s="13"/>
    </row>
    <row r="3" spans="1:9" ht="23.25" customHeight="1" x14ac:dyDescent="0.3">
      <c r="A3" s="13" t="s">
        <v>330</v>
      </c>
      <c r="B3" s="13" t="s">
        <v>334</v>
      </c>
      <c r="C3" s="13" t="s">
        <v>22</v>
      </c>
      <c r="D3" s="13" t="s">
        <v>335</v>
      </c>
      <c r="E3" s="13" t="s">
        <v>333</v>
      </c>
      <c r="F3" s="13" t="s">
        <v>293</v>
      </c>
      <c r="G3" s="13" t="s">
        <v>156</v>
      </c>
      <c r="H3" s="13" t="s">
        <v>48</v>
      </c>
      <c r="I3" s="13"/>
    </row>
    <row r="4" spans="1:9" ht="15" customHeight="1" x14ac:dyDescent="0.3">
      <c r="A4" s="13" t="s">
        <v>330</v>
      </c>
      <c r="B4" s="13" t="s">
        <v>336</v>
      </c>
      <c r="C4" s="13" t="s">
        <v>22</v>
      </c>
      <c r="D4" s="13" t="s">
        <v>337</v>
      </c>
      <c r="E4" s="13" t="s">
        <v>333</v>
      </c>
      <c r="F4" s="13" t="s">
        <v>293</v>
      </c>
      <c r="G4" s="13" t="s">
        <v>156</v>
      </c>
      <c r="H4" s="13" t="s">
        <v>48</v>
      </c>
      <c r="I4" s="13"/>
    </row>
    <row r="5" spans="1:9" ht="15" customHeight="1" x14ac:dyDescent="0.3">
      <c r="A5" s="13" t="s">
        <v>330</v>
      </c>
      <c r="B5" s="13" t="s">
        <v>338</v>
      </c>
      <c r="C5" s="13" t="s">
        <v>22</v>
      </c>
      <c r="D5" s="13" t="s">
        <v>339</v>
      </c>
      <c r="E5" s="13" t="s">
        <v>340</v>
      </c>
      <c r="F5" s="13" t="s">
        <v>293</v>
      </c>
      <c r="G5" s="13" t="s">
        <v>156</v>
      </c>
      <c r="H5" s="13" t="s">
        <v>48</v>
      </c>
      <c r="I5" s="13"/>
    </row>
    <row r="6" spans="1:9" ht="23.25" customHeight="1" x14ac:dyDescent="0.3">
      <c r="A6" s="13" t="s">
        <v>330</v>
      </c>
      <c r="B6" s="13" t="s">
        <v>208</v>
      </c>
      <c r="C6" s="13" t="s">
        <v>22</v>
      </c>
      <c r="D6" s="13" t="s">
        <v>341</v>
      </c>
      <c r="E6" s="13" t="s">
        <v>333</v>
      </c>
      <c r="F6" s="13" t="s">
        <v>293</v>
      </c>
      <c r="G6" s="13" t="s">
        <v>156</v>
      </c>
      <c r="H6" s="13" t="s">
        <v>48</v>
      </c>
      <c r="I6" s="13"/>
    </row>
    <row r="7" spans="1:9" ht="15" customHeight="1" x14ac:dyDescent="0.3">
      <c r="A7" s="13" t="s">
        <v>330</v>
      </c>
      <c r="B7" s="13" t="s">
        <v>342</v>
      </c>
      <c r="C7" s="13" t="s">
        <v>22</v>
      </c>
      <c r="D7" s="13" t="s">
        <v>343</v>
      </c>
      <c r="E7" s="13" t="s">
        <v>340</v>
      </c>
      <c r="F7" s="13" t="s">
        <v>293</v>
      </c>
      <c r="G7" s="13" t="s">
        <v>156</v>
      </c>
      <c r="H7" s="13" t="s">
        <v>48</v>
      </c>
      <c r="I7" s="13"/>
    </row>
    <row r="8" spans="1:9" ht="15" customHeight="1" x14ac:dyDescent="0.3">
      <c r="A8" s="13" t="s">
        <v>344</v>
      </c>
      <c r="B8" s="13" t="s">
        <v>345</v>
      </c>
      <c r="C8" s="13" t="s">
        <v>22</v>
      </c>
      <c r="D8" s="13" t="s">
        <v>346</v>
      </c>
      <c r="E8" s="13" t="s">
        <v>333</v>
      </c>
      <c r="F8" s="13" t="s">
        <v>293</v>
      </c>
      <c r="G8" s="13" t="s">
        <v>156</v>
      </c>
      <c r="H8" s="13" t="s">
        <v>48</v>
      </c>
      <c r="I8" s="13"/>
    </row>
    <row r="9" spans="1:9" ht="15" customHeight="1" x14ac:dyDescent="0.3">
      <c r="A9" s="13" t="s">
        <v>344</v>
      </c>
      <c r="B9" s="13" t="s">
        <v>347</v>
      </c>
      <c r="C9" s="13" t="s">
        <v>22</v>
      </c>
      <c r="D9" s="13" t="s">
        <v>348</v>
      </c>
      <c r="E9" s="13" t="s">
        <v>333</v>
      </c>
      <c r="F9" s="13" t="s">
        <v>293</v>
      </c>
      <c r="G9" s="13" t="s">
        <v>156</v>
      </c>
      <c r="H9" s="13" t="s">
        <v>48</v>
      </c>
      <c r="I9" s="13"/>
    </row>
    <row r="10" spans="1:9" ht="15" customHeight="1" x14ac:dyDescent="0.3">
      <c r="A10" s="13" t="s">
        <v>344</v>
      </c>
      <c r="B10" s="13" t="s">
        <v>349</v>
      </c>
      <c r="C10" s="13" t="s">
        <v>22</v>
      </c>
      <c r="D10" s="13" t="s">
        <v>350</v>
      </c>
      <c r="E10" s="13" t="s">
        <v>333</v>
      </c>
      <c r="F10" s="13" t="s">
        <v>293</v>
      </c>
      <c r="G10" s="13" t="s">
        <v>156</v>
      </c>
      <c r="H10" s="13" t="s">
        <v>48</v>
      </c>
      <c r="I10" s="13"/>
    </row>
    <row r="11" spans="1:9" ht="23.25" customHeight="1" x14ac:dyDescent="0.3">
      <c r="A11" s="13" t="s">
        <v>344</v>
      </c>
      <c r="B11" s="13" t="s">
        <v>351</v>
      </c>
      <c r="C11" s="13" t="s">
        <v>22</v>
      </c>
      <c r="D11" s="13" t="s">
        <v>352</v>
      </c>
      <c r="E11" s="13" t="s">
        <v>333</v>
      </c>
      <c r="F11" s="13" t="s">
        <v>293</v>
      </c>
      <c r="G11" s="13" t="s">
        <v>156</v>
      </c>
      <c r="H11" s="13" t="s">
        <v>48</v>
      </c>
      <c r="I11" s="13"/>
    </row>
    <row r="12" spans="1:9" ht="15" customHeight="1" x14ac:dyDescent="0.3">
      <c r="A12" s="13" t="s">
        <v>344</v>
      </c>
      <c r="B12" s="13" t="s">
        <v>353</v>
      </c>
      <c r="C12" s="13" t="s">
        <v>22</v>
      </c>
      <c r="D12" s="13" t="s">
        <v>354</v>
      </c>
      <c r="E12" s="13" t="s">
        <v>355</v>
      </c>
      <c r="F12" s="13" t="s">
        <v>293</v>
      </c>
      <c r="G12" s="13" t="s">
        <v>156</v>
      </c>
      <c r="H12" s="13" t="s">
        <v>48</v>
      </c>
      <c r="I12" s="13"/>
    </row>
    <row r="13" spans="1:9" ht="23.25" customHeight="1" x14ac:dyDescent="0.3">
      <c r="A13" s="13" t="s">
        <v>344</v>
      </c>
      <c r="B13" s="13" t="s">
        <v>356</v>
      </c>
      <c r="C13" s="13" t="s">
        <v>22</v>
      </c>
      <c r="D13" s="13" t="s">
        <v>357</v>
      </c>
      <c r="E13" s="13" t="s">
        <v>333</v>
      </c>
      <c r="F13" s="13" t="s">
        <v>293</v>
      </c>
      <c r="G13" s="13" t="s">
        <v>156</v>
      </c>
      <c r="H13" s="13" t="s">
        <v>48</v>
      </c>
      <c r="I13" s="13"/>
    </row>
    <row r="14" spans="1:9" ht="15" customHeight="1" x14ac:dyDescent="0.3">
      <c r="A14" s="13" t="s">
        <v>358</v>
      </c>
      <c r="B14" s="13" t="s">
        <v>359</v>
      </c>
      <c r="C14" s="13" t="s">
        <v>22</v>
      </c>
      <c r="D14" s="13" t="s">
        <v>360</v>
      </c>
      <c r="E14" s="13" t="s">
        <v>333</v>
      </c>
      <c r="F14" s="13" t="s">
        <v>293</v>
      </c>
      <c r="G14" s="13" t="s">
        <v>156</v>
      </c>
      <c r="H14" s="13" t="s">
        <v>48</v>
      </c>
      <c r="I14" s="13"/>
    </row>
    <row r="15" spans="1:9" ht="15" customHeight="1" x14ac:dyDescent="0.3">
      <c r="A15" s="13" t="s">
        <v>358</v>
      </c>
      <c r="B15" s="13" t="s">
        <v>361</v>
      </c>
      <c r="C15" s="13" t="s">
        <v>22</v>
      </c>
      <c r="D15" s="13" t="s">
        <v>305</v>
      </c>
      <c r="E15" s="13" t="s">
        <v>333</v>
      </c>
      <c r="F15" s="13" t="s">
        <v>293</v>
      </c>
      <c r="G15" s="13" t="s">
        <v>156</v>
      </c>
      <c r="H15" s="13" t="s">
        <v>48</v>
      </c>
      <c r="I15" s="13"/>
    </row>
    <row r="16" spans="1:9" ht="15" customHeight="1" x14ac:dyDescent="0.3">
      <c r="A16" s="13" t="s">
        <v>358</v>
      </c>
      <c r="B16" s="13" t="s">
        <v>362</v>
      </c>
      <c r="C16" s="13" t="s">
        <v>22</v>
      </c>
      <c r="D16" s="13" t="s">
        <v>363</v>
      </c>
      <c r="E16" s="13" t="s">
        <v>333</v>
      </c>
      <c r="F16" s="13" t="s">
        <v>293</v>
      </c>
      <c r="G16" s="13" t="s">
        <v>156</v>
      </c>
      <c r="H16" s="13" t="s">
        <v>48</v>
      </c>
      <c r="I16" s="13"/>
    </row>
    <row r="17" spans="1:9" ht="15" customHeight="1" x14ac:dyDescent="0.3">
      <c r="A17" s="13" t="s">
        <v>358</v>
      </c>
      <c r="B17" s="13" t="s">
        <v>364</v>
      </c>
      <c r="C17" s="13" t="s">
        <v>22</v>
      </c>
      <c r="D17" s="13" t="s">
        <v>365</v>
      </c>
      <c r="E17" s="13" t="s">
        <v>333</v>
      </c>
      <c r="F17" s="13" t="s">
        <v>293</v>
      </c>
      <c r="G17" s="13" t="s">
        <v>156</v>
      </c>
      <c r="H17" s="13" t="s">
        <v>48</v>
      </c>
      <c r="I17" s="13"/>
    </row>
    <row r="18" spans="1:9" ht="15" customHeight="1" x14ac:dyDescent="0.3">
      <c r="A18" s="13" t="s">
        <v>358</v>
      </c>
      <c r="B18" s="13" t="s">
        <v>366</v>
      </c>
      <c r="C18" s="13" t="s">
        <v>22</v>
      </c>
      <c r="D18" s="13" t="s">
        <v>367</v>
      </c>
      <c r="E18" s="13" t="s">
        <v>333</v>
      </c>
      <c r="F18" s="13" t="s">
        <v>293</v>
      </c>
      <c r="G18" s="13" t="s">
        <v>156</v>
      </c>
      <c r="H18" s="13" t="s">
        <v>48</v>
      </c>
      <c r="I18" s="13"/>
    </row>
    <row r="19" spans="1:9" ht="15" customHeight="1" x14ac:dyDescent="0.3">
      <c r="A19" s="13" t="s">
        <v>358</v>
      </c>
      <c r="B19" s="13" t="s">
        <v>368</v>
      </c>
      <c r="C19" s="13" t="s">
        <v>22</v>
      </c>
      <c r="D19" s="13" t="s">
        <v>369</v>
      </c>
      <c r="E19" s="13" t="s">
        <v>333</v>
      </c>
      <c r="F19" s="13" t="s">
        <v>293</v>
      </c>
      <c r="G19" s="13" t="s">
        <v>156</v>
      </c>
      <c r="H19" s="13" t="s">
        <v>48</v>
      </c>
      <c r="I19" s="13"/>
    </row>
    <row r="20" spans="1:9" ht="15" customHeight="1" x14ac:dyDescent="0.3">
      <c r="A20" s="13" t="s">
        <v>358</v>
      </c>
      <c r="B20" s="13" t="s">
        <v>370</v>
      </c>
      <c r="C20" s="13" t="s">
        <v>22</v>
      </c>
      <c r="D20" s="13" t="s">
        <v>371</v>
      </c>
      <c r="E20" s="13" t="s">
        <v>355</v>
      </c>
      <c r="F20" s="13" t="s">
        <v>293</v>
      </c>
      <c r="G20" s="13" t="s">
        <v>156</v>
      </c>
      <c r="H20" s="13" t="s">
        <v>48</v>
      </c>
      <c r="I20" s="13"/>
    </row>
    <row r="21" spans="1:9" ht="15" customHeight="1" x14ac:dyDescent="0.3">
      <c r="A21" s="13" t="s">
        <v>358</v>
      </c>
      <c r="B21" s="13" t="s">
        <v>372</v>
      </c>
      <c r="C21" s="13" t="s">
        <v>22</v>
      </c>
      <c r="D21" s="13" t="s">
        <v>373</v>
      </c>
      <c r="E21" s="13" t="s">
        <v>333</v>
      </c>
      <c r="F21" s="13" t="s">
        <v>293</v>
      </c>
      <c r="G21" s="13" t="s">
        <v>156</v>
      </c>
      <c r="H21" s="13" t="s">
        <v>48</v>
      </c>
      <c r="I21" s="13"/>
    </row>
    <row r="22" spans="1:9" ht="15" customHeight="1" x14ac:dyDescent="0.3">
      <c r="A22" s="13" t="s">
        <v>374</v>
      </c>
      <c r="B22" s="13" t="s">
        <v>331</v>
      </c>
      <c r="C22" s="13" t="s">
        <v>22</v>
      </c>
      <c r="D22" s="13" t="s">
        <v>375</v>
      </c>
      <c r="E22" s="13" t="s">
        <v>355</v>
      </c>
      <c r="F22" s="13" t="s">
        <v>293</v>
      </c>
      <c r="G22" s="13" t="s">
        <v>156</v>
      </c>
      <c r="H22" s="13" t="s">
        <v>48</v>
      </c>
      <c r="I22" s="13"/>
    </row>
    <row r="23" spans="1:9" ht="15" customHeight="1" x14ac:dyDescent="0.3">
      <c r="A23" s="13" t="s">
        <v>374</v>
      </c>
      <c r="B23" s="13" t="s">
        <v>376</v>
      </c>
      <c r="C23" s="13" t="s">
        <v>22</v>
      </c>
      <c r="D23" s="13" t="s">
        <v>377</v>
      </c>
      <c r="E23" s="13" t="s">
        <v>355</v>
      </c>
      <c r="F23" s="13" t="s">
        <v>293</v>
      </c>
      <c r="G23" s="13" t="s">
        <v>156</v>
      </c>
      <c r="H23" s="13" t="s">
        <v>48</v>
      </c>
      <c r="I23" s="13"/>
    </row>
    <row r="24" spans="1:9" ht="15" customHeight="1" x14ac:dyDescent="0.3">
      <c r="A24" s="13" t="s">
        <v>374</v>
      </c>
      <c r="B24" s="13" t="s">
        <v>378</v>
      </c>
      <c r="C24" s="13" t="s">
        <v>22</v>
      </c>
      <c r="D24" s="13" t="s">
        <v>379</v>
      </c>
      <c r="E24" s="13" t="s">
        <v>355</v>
      </c>
      <c r="F24" s="13" t="s">
        <v>293</v>
      </c>
      <c r="G24" s="13" t="s">
        <v>156</v>
      </c>
      <c r="H24" s="13" t="s">
        <v>48</v>
      </c>
      <c r="I24" s="13"/>
    </row>
    <row r="25" spans="1:9" ht="15" customHeight="1" x14ac:dyDescent="0.3">
      <c r="A25" s="13" t="s">
        <v>374</v>
      </c>
      <c r="B25" s="13" t="s">
        <v>380</v>
      </c>
      <c r="C25" s="13" t="s">
        <v>22</v>
      </c>
      <c r="D25" s="13" t="s">
        <v>381</v>
      </c>
      <c r="E25" s="13" t="s">
        <v>355</v>
      </c>
      <c r="F25" s="13" t="s">
        <v>293</v>
      </c>
      <c r="G25" s="13" t="s">
        <v>156</v>
      </c>
      <c r="H25" s="13" t="s">
        <v>48</v>
      </c>
      <c r="I25" s="13"/>
    </row>
    <row r="26" spans="1:9" ht="15" customHeight="1" x14ac:dyDescent="0.3">
      <c r="A26" s="13" t="s">
        <v>374</v>
      </c>
      <c r="B26" s="13" t="s">
        <v>382</v>
      </c>
      <c r="C26" s="13" t="s">
        <v>22</v>
      </c>
      <c r="D26" s="13" t="s">
        <v>383</v>
      </c>
      <c r="E26" s="13" t="s">
        <v>355</v>
      </c>
      <c r="F26" s="13" t="s">
        <v>293</v>
      </c>
      <c r="G26" s="13" t="s">
        <v>156</v>
      </c>
      <c r="H26" s="13" t="s">
        <v>48</v>
      </c>
      <c r="I26" s="13"/>
    </row>
    <row r="27" spans="1:9" ht="15" customHeight="1" x14ac:dyDescent="0.3">
      <c r="A27" s="13" t="s">
        <v>384</v>
      </c>
      <c r="B27" s="13" t="s">
        <v>385</v>
      </c>
      <c r="C27" s="13" t="s">
        <v>22</v>
      </c>
      <c r="D27" s="13" t="s">
        <v>386</v>
      </c>
      <c r="E27" s="13" t="s">
        <v>340</v>
      </c>
      <c r="F27" s="13" t="s">
        <v>293</v>
      </c>
      <c r="G27" s="13" t="s">
        <v>156</v>
      </c>
      <c r="H27" s="13" t="s">
        <v>48</v>
      </c>
      <c r="I27" s="13"/>
    </row>
    <row r="28" spans="1:9" ht="15" customHeight="1" x14ac:dyDescent="0.3">
      <c r="A28" s="13" t="s">
        <v>384</v>
      </c>
      <c r="B28" s="13" t="s">
        <v>382</v>
      </c>
      <c r="C28" s="13" t="s">
        <v>22</v>
      </c>
      <c r="D28" s="13" t="s">
        <v>387</v>
      </c>
      <c r="E28" s="13" t="s">
        <v>340</v>
      </c>
      <c r="F28" s="13" t="s">
        <v>293</v>
      </c>
      <c r="G28" s="13" t="s">
        <v>156</v>
      </c>
      <c r="H28" s="13" t="s">
        <v>48</v>
      </c>
      <c r="I28" s="13"/>
    </row>
    <row r="29" spans="1:9" ht="15" customHeight="1" x14ac:dyDescent="0.3">
      <c r="A29" s="13" t="s">
        <v>384</v>
      </c>
      <c r="B29" s="13" t="s">
        <v>388</v>
      </c>
      <c r="C29" s="13" t="s">
        <v>22</v>
      </c>
      <c r="D29" s="13" t="s">
        <v>389</v>
      </c>
      <c r="E29" s="13" t="s">
        <v>340</v>
      </c>
      <c r="F29" s="13" t="s">
        <v>293</v>
      </c>
      <c r="G29" s="13" t="s">
        <v>156</v>
      </c>
      <c r="H29" s="13" t="s">
        <v>48</v>
      </c>
      <c r="I29" s="13"/>
    </row>
    <row r="30" spans="1:9" ht="15" customHeight="1" x14ac:dyDescent="0.3">
      <c r="A30" s="13" t="s">
        <v>384</v>
      </c>
      <c r="B30" s="13" t="s">
        <v>390</v>
      </c>
      <c r="C30" s="13" t="s">
        <v>22</v>
      </c>
      <c r="D30" s="13" t="s">
        <v>391</v>
      </c>
      <c r="E30" s="13" t="s">
        <v>340</v>
      </c>
      <c r="F30" s="13" t="s">
        <v>293</v>
      </c>
      <c r="G30" s="13" t="s">
        <v>156</v>
      </c>
      <c r="H30" s="13" t="s">
        <v>48</v>
      </c>
      <c r="I30" s="13"/>
    </row>
    <row r="31" spans="1:9" ht="15" customHeight="1" x14ac:dyDescent="0.3">
      <c r="A31" s="13" t="s">
        <v>384</v>
      </c>
      <c r="B31" s="13" t="s">
        <v>392</v>
      </c>
      <c r="C31" s="13" t="s">
        <v>22</v>
      </c>
      <c r="D31" s="13" t="s">
        <v>393</v>
      </c>
      <c r="E31" s="13" t="s">
        <v>340</v>
      </c>
      <c r="F31" s="13" t="s">
        <v>293</v>
      </c>
      <c r="G31" s="13" t="s">
        <v>156</v>
      </c>
      <c r="H31" s="13" t="s">
        <v>48</v>
      </c>
      <c r="I31" s="13"/>
    </row>
    <row r="32" spans="1:9" ht="15" customHeight="1" x14ac:dyDescent="0.3">
      <c r="A32" s="13" t="s">
        <v>384</v>
      </c>
      <c r="B32" s="13" t="s">
        <v>394</v>
      </c>
      <c r="C32" s="13" t="s">
        <v>22</v>
      </c>
      <c r="D32" s="13" t="s">
        <v>395</v>
      </c>
      <c r="E32" s="13" t="s">
        <v>340</v>
      </c>
      <c r="F32" s="13" t="s">
        <v>293</v>
      </c>
      <c r="G32" s="13" t="s">
        <v>156</v>
      </c>
      <c r="H32" s="13" t="s">
        <v>48</v>
      </c>
      <c r="I32" s="13"/>
    </row>
    <row r="33" spans="1:9" ht="15" customHeight="1" x14ac:dyDescent="0.3">
      <c r="A33" s="13" t="s">
        <v>384</v>
      </c>
      <c r="B33" s="13" t="s">
        <v>396</v>
      </c>
      <c r="C33" s="13" t="s">
        <v>22</v>
      </c>
      <c r="D33" s="13" t="s">
        <v>397</v>
      </c>
      <c r="E33" s="13" t="s">
        <v>340</v>
      </c>
      <c r="F33" s="13" t="s">
        <v>293</v>
      </c>
      <c r="G33" s="13" t="s">
        <v>156</v>
      </c>
      <c r="H33" s="13" t="s">
        <v>48</v>
      </c>
      <c r="I33" s="13"/>
    </row>
    <row r="34" spans="1:9" ht="23.25" customHeight="1" x14ac:dyDescent="0.3">
      <c r="A34" s="13" t="s">
        <v>398</v>
      </c>
      <c r="B34" s="13" t="s">
        <v>399</v>
      </c>
      <c r="C34" s="13" t="s">
        <v>22</v>
      </c>
      <c r="D34" s="13" t="s">
        <v>400</v>
      </c>
      <c r="E34" s="13" t="s">
        <v>333</v>
      </c>
      <c r="F34" s="13" t="s">
        <v>293</v>
      </c>
      <c r="G34" s="13" t="s">
        <v>156</v>
      </c>
      <c r="H34" s="13" t="s">
        <v>48</v>
      </c>
      <c r="I34" s="13"/>
    </row>
    <row r="35" spans="1:9" ht="15" customHeight="1" x14ac:dyDescent="0.3">
      <c r="A35" s="13" t="s">
        <v>398</v>
      </c>
      <c r="B35" s="13" t="s">
        <v>401</v>
      </c>
      <c r="C35" s="13" t="s">
        <v>22</v>
      </c>
      <c r="D35" s="13" t="s">
        <v>402</v>
      </c>
      <c r="E35" s="13" t="s">
        <v>333</v>
      </c>
      <c r="F35" s="13" t="s">
        <v>293</v>
      </c>
      <c r="G35" s="13" t="s">
        <v>156</v>
      </c>
      <c r="H35" s="13" t="s">
        <v>48</v>
      </c>
      <c r="I35" s="13"/>
    </row>
    <row r="36" spans="1:9" ht="15" customHeight="1" x14ac:dyDescent="0.3">
      <c r="A36" s="13" t="s">
        <v>398</v>
      </c>
      <c r="B36" s="13" t="s">
        <v>403</v>
      </c>
      <c r="C36" s="13" t="s">
        <v>22</v>
      </c>
      <c r="D36" s="13" t="s">
        <v>404</v>
      </c>
      <c r="E36" s="13" t="s">
        <v>355</v>
      </c>
      <c r="F36" s="13" t="s">
        <v>293</v>
      </c>
      <c r="G36" s="13" t="s">
        <v>156</v>
      </c>
      <c r="H36" s="13" t="s">
        <v>48</v>
      </c>
      <c r="I36" s="13"/>
    </row>
    <row r="37" spans="1:9" ht="15" customHeight="1" x14ac:dyDescent="0.3">
      <c r="A37" s="13" t="s">
        <v>398</v>
      </c>
      <c r="B37" s="13" t="s">
        <v>405</v>
      </c>
      <c r="C37" s="13" t="s">
        <v>22</v>
      </c>
      <c r="D37" s="13" t="s">
        <v>406</v>
      </c>
      <c r="E37" s="13" t="s">
        <v>355</v>
      </c>
      <c r="F37" s="13" t="s">
        <v>293</v>
      </c>
      <c r="G37" s="13" t="s">
        <v>156</v>
      </c>
      <c r="H37" s="13" t="s">
        <v>48</v>
      </c>
      <c r="I37" s="13"/>
    </row>
    <row r="38" spans="1:9" ht="15" customHeight="1" x14ac:dyDescent="0.3">
      <c r="A38" s="13" t="s">
        <v>407</v>
      </c>
      <c r="B38" s="13" t="s">
        <v>408</v>
      </c>
      <c r="C38" s="13" t="s">
        <v>22</v>
      </c>
      <c r="D38" s="13" t="s">
        <v>409</v>
      </c>
      <c r="E38" s="13" t="s">
        <v>355</v>
      </c>
      <c r="F38" s="13" t="s">
        <v>293</v>
      </c>
      <c r="G38" s="13" t="s">
        <v>156</v>
      </c>
      <c r="H38" s="13" t="s">
        <v>48</v>
      </c>
      <c r="I38" s="13"/>
    </row>
    <row r="39" spans="1:9" ht="15" customHeight="1" x14ac:dyDescent="0.3">
      <c r="A39" s="13" t="s">
        <v>407</v>
      </c>
      <c r="B39" s="13" t="s">
        <v>410</v>
      </c>
      <c r="C39" s="13" t="s">
        <v>22</v>
      </c>
      <c r="D39" s="13" t="s">
        <v>411</v>
      </c>
      <c r="E39" s="13" t="s">
        <v>355</v>
      </c>
      <c r="F39" s="13" t="s">
        <v>293</v>
      </c>
      <c r="G39" s="13" t="s">
        <v>156</v>
      </c>
      <c r="H39" s="13" t="s">
        <v>48</v>
      </c>
      <c r="I39" s="13"/>
    </row>
    <row r="40" spans="1:9" ht="15" customHeight="1" x14ac:dyDescent="0.3">
      <c r="A40" s="13" t="s">
        <v>407</v>
      </c>
      <c r="B40" s="13" t="s">
        <v>412</v>
      </c>
      <c r="C40" s="13" t="s">
        <v>22</v>
      </c>
      <c r="D40" s="13" t="s">
        <v>413</v>
      </c>
      <c r="E40" s="13" t="s">
        <v>355</v>
      </c>
      <c r="F40" s="13" t="s">
        <v>293</v>
      </c>
      <c r="G40" s="13" t="s">
        <v>156</v>
      </c>
      <c r="H40" s="13" t="s">
        <v>48</v>
      </c>
      <c r="I40" s="13"/>
    </row>
    <row r="41" spans="1:9" ht="15" customHeight="1" x14ac:dyDescent="0.3">
      <c r="A41" s="13" t="s">
        <v>407</v>
      </c>
      <c r="B41" s="13" t="s">
        <v>414</v>
      </c>
      <c r="C41" s="13" t="s">
        <v>22</v>
      </c>
      <c r="D41" s="13" t="s">
        <v>415</v>
      </c>
      <c r="E41" s="13" t="s">
        <v>355</v>
      </c>
      <c r="F41" s="13" t="s">
        <v>293</v>
      </c>
      <c r="G41" s="13" t="s">
        <v>156</v>
      </c>
      <c r="H41" s="13" t="s">
        <v>48</v>
      </c>
      <c r="I41" s="13"/>
    </row>
    <row r="42" spans="1:9" ht="15" customHeight="1" x14ac:dyDescent="0.3">
      <c r="A42" s="13" t="s">
        <v>407</v>
      </c>
      <c r="B42" s="13" t="s">
        <v>392</v>
      </c>
      <c r="C42" s="13" t="s">
        <v>22</v>
      </c>
      <c r="D42" s="13" t="s">
        <v>416</v>
      </c>
      <c r="E42" s="13" t="s">
        <v>355</v>
      </c>
      <c r="F42" s="13" t="s">
        <v>293</v>
      </c>
      <c r="G42" s="13" t="s">
        <v>156</v>
      </c>
      <c r="H42" s="13" t="s">
        <v>48</v>
      </c>
      <c r="I42" s="13"/>
    </row>
  </sheetData>
  <dataValidations count="2">
    <dataValidation type="list" allowBlank="1" sqref="H2:H42" xr:uid="{00000000-0002-0000-0400-000000000000}">
      <formula1>"Not Started,In Progress,Done,Blocked"</formula1>
      <formula2>0</formula2>
    </dataValidation>
    <dataValidation type="list" allowBlank="1" sqref="F2:G42" xr:uid="{00000000-0002-0000-0400-000001000000}">
      <formula1>"Yes,No,Partial"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Plan_10Days</vt:lpstr>
      <vt:lpstr>API_Endpoints</vt:lpstr>
      <vt:lpstr>Mobile_Screens</vt:lpstr>
      <vt:lpstr>Web_Dashboards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elredeny</cp:lastModifiedBy>
  <cp:revision>0</cp:revision>
  <dcterms:created xsi:type="dcterms:W3CDTF">2026-06-11T17:52:36Z</dcterms:created>
  <dcterms:modified xsi:type="dcterms:W3CDTF">2026-06-11T18:08:44Z</dcterms:modified>
  <dc:language>en-US</dc:language>
</cp:coreProperties>
</file>